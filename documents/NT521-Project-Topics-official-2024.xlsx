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ithcm-my.sharepoint.com/personal/22521385_ms_uit_edu_vn/Documents/Đại Học Công Nghệ Thông Tin/Năm 3/HK1/Lập Trình ATKTLHPM/Tài Liệu Nhóm - NT521.P12.ANTT/Đồ Án/"/>
    </mc:Choice>
  </mc:AlternateContent>
  <xr:revisionPtr revIDLastSave="0" documentId="8_{B84FDB61-5E19-468E-B6BC-DAF0EA88A3F3}" xr6:coauthVersionLast="47" xr6:coauthVersionMax="47" xr10:uidLastSave="{00000000-0000-0000-0000-000000000000}"/>
  <bookViews>
    <workbookView xWindow="-108" yWindow="-108" windowWidth="23256" windowHeight="13176" activeTab="2" xr2:uid="{00000000-000D-0000-FFFF-FFFF00000000}"/>
  </bookViews>
  <sheets>
    <sheet name="Project" sheetId="5" r:id="rId1"/>
    <sheet name="Tieuchi-danhgia" sheetId="10" r:id="rId2"/>
    <sheet name="Mini-Seminar" sheetId="9" r:id="rId3"/>
    <sheet name="Tainang" sheetId="6" r:id="rId4"/>
    <sheet name="Chuan"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h1T9Qh5HsOaLn7x38BvyaeXpyJsQ=="/>
    </ext>
  </extLst>
</workbook>
</file>

<file path=xl/calcChain.xml><?xml version="1.0" encoding="utf-8"?>
<calcChain xmlns="http://schemas.openxmlformats.org/spreadsheetml/2006/main">
  <c r="B84" i="5" l="1"/>
  <c r="B91" i="5"/>
  <c r="B90" i="5"/>
  <c r="B88" i="5"/>
  <c r="B89" i="5"/>
  <c r="B33" i="5"/>
  <c r="B15" i="5"/>
  <c r="B86" i="5"/>
  <c r="B87" i="5"/>
  <c r="B85" i="5"/>
  <c r="B83" i="5"/>
  <c r="B82" i="5"/>
  <c r="B81" i="5"/>
  <c r="B80" i="5"/>
  <c r="B79" i="5"/>
  <c r="B78" i="5"/>
  <c r="B77" i="5"/>
  <c r="B76" i="5"/>
  <c r="B75" i="5"/>
  <c r="B74" i="5"/>
  <c r="B73" i="5"/>
  <c r="B22" i="5"/>
  <c r="B21" i="5"/>
  <c r="B18" i="5"/>
  <c r="B19" i="5"/>
  <c r="B20" i="5"/>
  <c r="B23" i="5"/>
  <c r="B24" i="5"/>
  <c r="B25" i="5"/>
  <c r="B26" i="5"/>
  <c r="B27" i="5"/>
  <c r="B28" i="5"/>
  <c r="B29" i="5"/>
  <c r="B30" i="5"/>
  <c r="B31" i="5"/>
  <c r="B32"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17" i="5"/>
  <c r="B9" i="5"/>
  <c r="B34" i="5"/>
  <c r="B10" i="5"/>
  <c r="B11" i="5"/>
  <c r="B12" i="5"/>
  <c r="B13" i="5"/>
  <c r="B14" i="5"/>
  <c r="B16" i="5"/>
  <c r="B8" i="5"/>
</calcChain>
</file>

<file path=xl/sharedStrings.xml><?xml version="1.0" encoding="utf-8"?>
<sst xmlns="http://schemas.openxmlformats.org/spreadsheetml/2006/main" count="433" uniqueCount="270">
  <si>
    <t>ĐỀ TÀI ĐỒ ÁN MÔN HỌC NT521 NĂM HỌC 2024-2025
MÔN HỌC: LẬP TRÌNH AN TOÀN VÀ KHAI THÁC LỖ HỔNG PHẦN MỀM
Học Kỳ I - Năm học 2023 - 2024</t>
  </si>
  <si>
    <t>Lớp: NT521</t>
  </si>
  <si>
    <r>
      <rPr>
        <b/>
        <sz val="11"/>
        <color rgb="FF000000"/>
        <rFont val="Arial"/>
        <family val="2"/>
      </rPr>
      <t xml:space="preserve">Yêu cầu:
</t>
    </r>
    <r>
      <rPr>
        <sz val="11"/>
        <color rgb="FF000000"/>
        <rFont val="Arial"/>
        <family val="2"/>
      </rPr>
      <t xml:space="preserve">Lớp Tài năng: </t>
    </r>
    <r>
      <rPr>
        <b/>
        <sz val="11"/>
        <color rgb="FFFF0000"/>
        <rFont val="Arial"/>
        <family val="2"/>
      </rPr>
      <t xml:space="preserve">tối đa 3 SV/nhóm
</t>
    </r>
    <r>
      <rPr>
        <sz val="11"/>
        <color rgb="FF000000"/>
        <rFont val="Arial"/>
        <family val="2"/>
      </rPr>
      <t xml:space="preserve">Lớp Chương trình chuẩn: tối đa </t>
    </r>
    <r>
      <rPr>
        <b/>
        <sz val="11"/>
        <color rgb="FFFF0000"/>
        <rFont val="Arial"/>
        <family val="2"/>
      </rPr>
      <t>4 SV/nhóm</t>
    </r>
    <r>
      <rPr>
        <sz val="11"/>
        <color theme="1"/>
        <rFont val="Arial"/>
        <family val="2"/>
      </rPr>
      <t xml:space="preserve">
</t>
    </r>
  </si>
  <si>
    <r>
      <t xml:space="preserve">**** Lưu ý: 
+ Sinh viên xem trước đề tài đồ án CK trước khi được GV chấp thuận giao đề tài thực hiện vào Buổi học số 04 (để được đổi sang đề tài khác nếu đề tài mới còn trong danh sách được lựa chọn sau khi quay số)
+ Đọc trước Phần tóm tắt nội dung của tài liệu để biết trước nội dung chính của đề tài
+ Sinh viên đăng ký thành viên nhóm Đồ án theo Form đăng ký của GVHD trước buổi học số 04
+ Hình thức giao đề tài: Quay số ngẫu nhiên để lấy mã đề tài thực hiện --&gt; Sau khi quay số cho tất cả các nhóm, các nhóm nào mong muốn được chuyển đổi sang đề tài khác trong danh sách sẽ được quyền đổi sang đề tài khác nếu đề tài mới chưa được nhóm nào chọn; và Được GVLT chấp nhận
+ Cách thực hiện: Tìm hiểu lý thuyết về ngữ cảnh, mô hình/phương pháp/cách thực nghiệm được sử dụng trong tài liệu của đề tài; và thực hiện demo về một trong các nội dung được đề cập trong đề tài
</t>
    </r>
    <r>
      <rPr>
        <b/>
        <sz val="11"/>
        <color rgb="FF4472C4"/>
        <rFont val="Arial"/>
        <family val="2"/>
      </rPr>
      <t>+ Vắng buổi báo cáo đồ án môn học của nhóm sẽ bị chấm điểm 0 cho điểm Đồ án.
+ Mỗi nhóm trình bày trong 15 phút (thuyết trình +demo) - không cho phép trình bày vượt quá thời gian. Sau đó, hỏi-đáp trong vòng 5 phút.</t>
    </r>
  </si>
  <si>
    <t>STT</t>
  </si>
  <si>
    <t>Mã đề tài</t>
  </si>
  <si>
    <t>Tên đề tài</t>
  </si>
  <si>
    <r>
      <rPr>
        <b/>
        <sz val="11"/>
        <color rgb="FF000000"/>
        <rFont val="Arial"/>
      </rPr>
      <t xml:space="preserve">Link tham khảo triển khai (bài báo khoa học)
</t>
    </r>
    <r>
      <rPr>
        <i/>
        <sz val="11"/>
        <color rgb="FF000000"/>
        <rFont val="Arial"/>
      </rPr>
      <t>(SV dùng tên đề tài để tìm tài liệu tương ứng/và code mẫu github (nếu có))</t>
    </r>
  </si>
  <si>
    <t>Chủ đề</t>
  </si>
  <si>
    <t>Kỹ thuật - Ghi chú</t>
  </si>
  <si>
    <t>On the feasibility of detecting injections in malicious npm packages</t>
  </si>
  <si>
    <t>https://dl.acm.org/doi/pdf/10.1145/3538969.3543815</t>
  </si>
  <si>
    <t>Open-source supply chain attack detection</t>
  </si>
  <si>
    <t>Non-ML</t>
  </si>
  <si>
    <t>BiAn: Smart Contract Source Code Obfuscation</t>
  </si>
  <si>
    <t>https://yanxiao6.github.io/papers/BiAn.pdf</t>
  </si>
  <si>
    <t>Code Obfuscation</t>
  </si>
  <si>
    <t xml:space="preserve">Arbiter: Bridging the Static and Dynamic Divide in Vulnerability Discovery on Binary Programs
</t>
  </si>
  <si>
    <t>https://www.usenix.org/conference/usenixsecurity22/presentation/vadayath
Github: https://github.com/jkrshnmenon/arbiter</t>
  </si>
  <si>
    <t>APR4Vul: an empirical study of automatic program repair techniques on real-world Java vulnerabilities</t>
  </si>
  <si>
    <t>https://link.springer.com/article/10.1007/s10664-023-10415-7</t>
  </si>
  <si>
    <t>Code Repairing</t>
  </si>
  <si>
    <t xml:space="preserve">KOOBE: Towards Facilitating Exploit Generation of Kernel Out-Of-Bounds Write Vulnerabilities
</t>
  </si>
  <si>
    <t>https://www.usenix.org/conference/usenixsecurity20/presentation/chen-weiteng</t>
  </si>
  <si>
    <t>Automatic Exploit Generation</t>
  </si>
  <si>
    <t xml:space="preserve">FUZE: Towards Facilitating Exploit Generation for Kernel Use-After-Free Vulnerabilities
</t>
  </si>
  <si>
    <t>https://www.usenix.org/conference/usenixsecurity18/presentation/wu-wei</t>
  </si>
  <si>
    <t xml:space="preserve">Binary-level Directed Fuzzing for Use-After-Free Vulnerabilities
</t>
  </si>
  <si>
    <t>https://www.usenix.org/system/files/raid20-nguyen.pdf</t>
  </si>
  <si>
    <t>Metamong: Detecting Render-Update Bugs in Web Browsers through Fuzzing</t>
  </si>
  <si>
    <t xml:space="preserve">https://dl.acm.org/doi/abs/10.1145/3611643.3616336
https://figshare.com/s/d3c228e614672f9aa811
</t>
  </si>
  <si>
    <t>Fuzzing</t>
  </si>
  <si>
    <t xml:space="preserve">Vulnerability-oriented directed fuzzing for binary programs
</t>
  </si>
  <si>
    <t>https://www.nature.com/articles/s41598-022-07355-5</t>
  </si>
  <si>
    <t>Towards Measuring Supply Chain Attacks on
Package Managers for Interpreted Languages</t>
  </si>
  <si>
    <t>https://alrawi.github.io/static/papers/supply-chain-NDSS21.pdf
https://github.com/osssanitizer/maloss</t>
  </si>
  <si>
    <t>AutoPwn: Artifact-Assisted Heap Exploit Generation for CTF PWN Competitions</t>
  </si>
  <si>
    <t>https://ieeexplore.ieee.org/abstract/document/10272603</t>
  </si>
  <si>
    <t>AAHEG: Automatic Advanced Heap Exploit Generation Based on Abstract Syntax Tree</t>
  </si>
  <si>
    <t>https://www.mdpi.com/2073-8994/15/12/2197</t>
  </si>
  <si>
    <t>CanaryExp: A Canary-Sensitive Automatic Exploitability Evaluation Solution for Vulnerabilities in Binary Programs</t>
  </si>
  <si>
    <t>https://www.mdpi.com/2076-3417/13/23/12556</t>
  </si>
  <si>
    <t>Tabby: Automated Gadget Chain Detection for Java Deserialization Vulnerabilities</t>
  </si>
  <si>
    <t>https://ieeexplore.ieee.org/abstract/document/10202660
https://github.com/wh1t3p1g/tabby</t>
  </si>
  <si>
    <t>Elysium: Context-Aware Bytecode-Level Patching to Automatically Heal Vulnerable Smart Contracts</t>
  </si>
  <si>
    <t>https://dl.acm.org/doi/pdf/10.1145/3545948.3545975</t>
  </si>
  <si>
    <t>Smart contract patching</t>
  </si>
  <si>
    <t>PyRTFuzz: Detecting Bugs in Python Runtimes via Two-Level Collaborative Fuzzing</t>
  </si>
  <si>
    <t>https://dl.acm.org/doi/pdf/10.1145/3576915.3623166
https://figshare.com/s/d5b8d5a7111abe4eafb1</t>
  </si>
  <si>
    <t>ItyFuzz: Snapshot-Based Fuzzer for Smart Contract</t>
  </si>
  <si>
    <t>https://dl.acm.org/doi/pdf/10.1145/3597926.3598059
https://github.com/fuzzland/ityfuzz</t>
  </si>
  <si>
    <t>Smart contract fuzzing</t>
  </si>
  <si>
    <t>CrossFuzz: Cross-contract fuzzing for smart contract vulnerability detection</t>
  </si>
  <si>
    <t>https://www.sciencedirect.com/science/article/pii/S0167642323001582
https://github.com/yagol2020/CrossFuzz</t>
  </si>
  <si>
    <t>EF_x0002_CF: High Performance Smart Contract Fuzzing for Exploit Generation</t>
  </si>
  <si>
    <t>https://ieeexplore.ieee.org/stamp/stamp.jsp?tp=&amp;arnumber=10190543
https://github.com/uni-due-syssec/efcf-framework</t>
  </si>
  <si>
    <t>VULSEYE: Detect Smart Contract Vulnerabilities via Stateful Directed Graybox Fuzzing</t>
  </si>
  <si>
    <t>https://arxiv.org/pdf/2408.10116</t>
  </si>
  <si>
    <t>Fuzz on the Beach: Fuzzing Solana Smart Contracts</t>
  </si>
  <si>
    <t>https://arxiv.org/pdf/2309.03006</t>
  </si>
  <si>
    <t>PolyFuzz: Holistic Greybox Fuzzing of Multi-Language Systems</t>
  </si>
  <si>
    <t xml:space="preserve">https://www.usenix.org/system/files/usenixsecurity23-li-wen.pdf
https://figshare.com/s/8ba4650e3248197fd756?file=37794300
</t>
  </si>
  <si>
    <t>MuFuzz: Sequence-Aware Mutation and Seed Mask Guidance for Blockchain Smart Contract Fuzzing</t>
  </si>
  <si>
    <t>https://ieeexplore.ieee.org/abstract/document/10597778
https://github.com/Messi-Q/MuFuzz</t>
  </si>
  <si>
    <t>Improving Java Deserialization Gadget Chain Mining via Overriding-Guided Object Generation</t>
  </si>
  <si>
    <t>https://github.com/GCMiner
https://ieeexplore.ieee.org/abstract/document/10172888</t>
  </si>
  <si>
    <t>Ethchecker: a context-guided fuzzing for smart contracts</t>
  </si>
  <si>
    <t>https://link.springer.com/article/10.1007/s11227-024-05954-9</t>
  </si>
  <si>
    <t>Understanding and Detecting Real-World Safety Issues in Rust</t>
  </si>
  <si>
    <t>https://songlh.github.io/paper/rust-tse.pdf
https://github.com/BurtonQin/lockbud</t>
  </si>
  <si>
    <t xml:space="preserve">Rust code Vulnerability detection </t>
  </si>
  <si>
    <t>Non-ML (xây dataset)</t>
  </si>
  <si>
    <t>Detect-Localize-Repair: A Unified Framework for Learning to Debug with CodeT5</t>
  </si>
  <si>
    <t>https://aclanthology.org/2022.findings-emnlp.57/</t>
  </si>
  <si>
    <t>Code vulnerability detection</t>
  </si>
  <si>
    <t>ML</t>
  </si>
  <si>
    <t>Fuzz4All: Universal Fuzzing with Large Language Models</t>
  </si>
  <si>
    <t>https://dl.acm.org/doi/pdf/10.1145/3597503.3639121
https://github.com/fuzz4all/fuzz4all</t>
  </si>
  <si>
    <t>ExploitGen: Template-augmented exploit code generation based on CodeBERT</t>
  </si>
  <si>
    <t>https://www.sciencedirect.com/science/article/abs/pii/S0164121222002539
https://github.com/NTDXYG/ExploitGen</t>
  </si>
  <si>
    <t>NYU CTF Dataset: A Scalable Open-Source Benchmark Dataset for Evaluating LLMs in Offensive Security</t>
  </si>
  <si>
    <t>https://arxiv.org/pdf/2406.05590
https://github.com/NYU-LLM-CTF/LLM_CTF_Database
https://github.com/NYU-LLM-CTF/llm_ctf_automation</t>
  </si>
  <si>
    <t>VULGEN: Realistic Vulnerability Generation Via Pattern Mining and Deep Learning</t>
  </si>
  <si>
    <t>https://ieeexplore.ieee.org/abstract/document/10172870</t>
  </si>
  <si>
    <t>Vulnerability Generation</t>
  </si>
  <si>
    <t>Practical Automated Detection of Malicious npm Packages</t>
  </si>
  <si>
    <t xml:space="preserve">https://github.com/githubnext/amalfi-artifact
https://dl.acm.org/doi/pdf/10.1145/3510003.3510104
</t>
  </si>
  <si>
    <t>Appt: Boosting automated patch correctness prediction via fine-tuning pre-trained models</t>
  </si>
  <si>
    <t>https://ieeexplore.ieee.org/abstract/document/10402095
https://github.com/iSEngLab/APPT</t>
  </si>
  <si>
    <t>HeVulD: A Static Vulnerability Detection Method using Heterogeneous Graph Code Representation</t>
  </si>
  <si>
    <t>https://ieeexplore.ieee.org/abstract/document/10681120</t>
  </si>
  <si>
    <t>Are our clone detectors good enough? An empirical study of code effects by obfuscation</t>
  </si>
  <si>
    <t>https://link.springer.com/article/10.1186/s42400-023-00148-x</t>
  </si>
  <si>
    <t>Code clone detection</t>
  </si>
  <si>
    <t>Evaluation of Large Language Models on Code Obfuscation</t>
  </si>
  <si>
    <t>https://ojs.aaai.org/index.php/AAAI/article/view/30517
https://github.com/SwindleA/LLMCodeObfuscation</t>
  </si>
  <si>
    <t xml:space="preserve">VulDetector: Detecting Vulnerabilities Using Weighted Feature Graph Comparison
</t>
  </si>
  <si>
    <t>https://ieeexplore.ieee.org/document/9309254</t>
  </si>
  <si>
    <t xml:space="preserve">BinDeep: A deep learning approach to binary code similarity detection
</t>
  </si>
  <si>
    <t>https://www.sciencedirect.com/science/article/pii/S0957417420310332</t>
  </si>
  <si>
    <t>Binary code similarity detection</t>
  </si>
  <si>
    <t xml:space="preserve">CD-VulD: Cross-Domain Vulnerability Discovery Based on Deep Domain Adaptation
</t>
  </si>
  <si>
    <t>https://ieeexplore.ieee.org/document/9054952</t>
  </si>
  <si>
    <t>jTrans: jump-aware transformer for binary code similarity detection</t>
  </si>
  <si>
    <t>https://dl.acm.org/doi/abs/10.1145/3533767.3534367</t>
  </si>
  <si>
    <t>Mando-hgt: Heterogeneous graph transformers for smart contract vulnerability detection</t>
  </si>
  <si>
    <t>https://ink.library.smu.edu.sg/cgi/viewcontent.cgi?article=9346&amp;context=sis_research</t>
  </si>
  <si>
    <t>Smart contract vulnerability detection</t>
  </si>
  <si>
    <t>Large-Scale Empirical Study of Important Features Indicative of Discovered Vulnerabilities to Assess Application Security</t>
  </si>
  <si>
    <t>https://ieeexplore.ieee.org/document/8629314</t>
  </si>
  <si>
    <t>On the Feasibility of Cross-Language Detection of Malicious Packages in npm and PyPI</t>
  </si>
  <si>
    <t>https://dl.acm.org/doi/abs/10.1145/3627106.3627138</t>
  </si>
  <si>
    <t>Asteria-Pro: Enhancing Deep-Learning Based Binary Code Similarity Detection by Incorporating Domain Knowledge</t>
  </si>
  <si>
    <t>https://dl.acm.org/doi/abs/10.1145/3604611</t>
  </si>
  <si>
    <t>Function Representations for Binary Similarity</t>
  </si>
  <si>
    <t>https://ieeexplore.ieee.org/document/9325042</t>
  </si>
  <si>
    <t>Multi-semantic feature fusion attention network for binary code similarity detection</t>
  </si>
  <si>
    <t>https://www.nature.com/articles/s41598-023-31280-w</t>
  </si>
  <si>
    <t>LineVD: statement-level vulnerability detection using graph neural networks</t>
  </si>
  <si>
    <t>https://dl.acm.org/doi/abs/10.1145/3524842.3527949</t>
  </si>
  <si>
    <t xml:space="preserve">CSGVD: A deep learning approach combining sequence and graph embedding for source code vulnerability detection </t>
  </si>
  <si>
    <t>https://www.sciencedirect.com/science/article/abs/pii/S0164121223000183</t>
  </si>
  <si>
    <t>VulChecker: Graph-based Vulnerability Localization in Source Code</t>
  </si>
  <si>
    <t>https://www.usenix.org/system/files/sec23summer_449-mirsky-prepub.pdf</t>
  </si>
  <si>
    <t xml:space="preserve">CPVD: Cross Project Vulnerability Detection Based on Graph Attention Network and Domain Adaptation </t>
  </si>
  <si>
    <t>https://ieeexplore.ieee.org/document/10149539</t>
  </si>
  <si>
    <t>FLAG: Finding Line Anomalies (in code) with Generative AI</t>
  </si>
  <si>
    <t>https://arxiv.org/pdf/2306.12643.pdf</t>
  </si>
  <si>
    <t>Compact Abstract Graphs for Detecting Code Vulnerability with GNN Models</t>
  </si>
  <si>
    <t>https://dl.acm.org/doi/abs/10.1145/3564625.3564655</t>
  </si>
  <si>
    <t>LineVul: A Transformer-based Line-Level Vulnerability Prediction</t>
  </si>
  <si>
    <t>https://dl.acm.org/doi/10.1145/3524842.3528452</t>
  </si>
  <si>
    <t>VDoTR: Vulnerability detection based on tensor representation of comprehensive code graphs</t>
  </si>
  <si>
    <t>https://www.sciencedirect.com/science/article/abs/pii/S0167404823001578</t>
  </si>
  <si>
    <t>Detecting Condition-Related Bugs with Control Flow Graph Neural Network</t>
  </si>
  <si>
    <t>https://dl.acm.org/doi/abs/10.1145/3597926.3598142</t>
  </si>
  <si>
    <t>Combining Graph-Based Learning With Automated Data Collection for Code Vulnerability Detection</t>
  </si>
  <si>
    <t>https://ieeexplore.ieee.org/document/9293321; Github: https://github.com/HuantWang/FUNDED_NISL</t>
  </si>
  <si>
    <t>HyVulDect: A hybrid semantic vulnerability mining system based on graph neural network</t>
  </si>
  <si>
    <t>https://www.sciencedirect.com/science/article/abs/pii/S0167404822002176</t>
  </si>
  <si>
    <t>Deep Learning based Vulnerability Detection: Are We There Yet?</t>
  </si>
  <si>
    <t>Github: https://github.com/VulDetProject/ReVeal
Paper: https://par.nsf.gov/servlets/purl/10326688</t>
  </si>
  <si>
    <t>Software Vulnerability Prediction in Low-Resource Languages: An Empirical Study of CodeBERT and ChatGPT</t>
  </si>
  <si>
    <t>https://dl.acm.org/doi/pdf/10.1145/3661167.3661281</t>
  </si>
  <si>
    <t>On the use of fine-grained vulnerable code statements for software vulnerability assessment models</t>
  </si>
  <si>
    <t>https://dl.acm.org/doi/abs/10.1145/3524842.3528433</t>
  </si>
  <si>
    <t>An extensive study of the effects of different deep learning models on code vulnerability detection in Python code</t>
  </si>
  <si>
    <t>https://link.springer.com/article/10.1007/s10515-024-00413-4</t>
  </si>
  <si>
    <t>Python source code vulnerability detection with named entity recognition</t>
  </si>
  <si>
    <t>https://www.sciencedirect.com/science/article/abs/pii/S0167404824001032</t>
  </si>
  <si>
    <t>VUDENC: Vulnerability Detection with Deep Learning on a Natural Codebase for Python</t>
  </si>
  <si>
    <t>https://www.sciencedirect.com/science/article/abs/pii/S0950584921002421
https://github.com/LauraWartschinski/VulnerabilityDetection</t>
  </si>
  <si>
    <t>JFinder: A novel architecture for java vulnerability identification based quad self-attention and pre-training mechanism</t>
  </si>
  <si>
    <t>https://www.sciencedirect.com/science/article/pii/S2667295223000466</t>
  </si>
  <si>
    <t>Neural Transfer Learning for Repairing Security Vulnerabilities in C Code</t>
  </si>
  <si>
    <t>https://ieeexplore.ieee.org/document/9699412
https://github.com/ASSERT-KTH/Vrepair</t>
  </si>
  <si>
    <t>VulRepair: a T5-based automated software vulnerability repair</t>
  </si>
  <si>
    <t>https://dl.acm.org/doi/abs/10.1145/3540250.3549098
https://github.com/awsm-research/VulRepair</t>
  </si>
  <si>
    <t>Meta-path based attentional graph learning model for vulnerability detection</t>
  </si>
  <si>
    <t>https://ieeexplore.ieee.org/abstract/document/10376026
https://github.com/Xin-Cheng-Wen/MAGNET</t>
  </si>
  <si>
    <t>SCVHunter: Smart Contract Vulnerability Detection Based on Heterogeneous Graph Attention Network</t>
  </si>
  <si>
    <t>CodeAttack: Code-Based Adversarial Attacks for Pre-trained Programming Language Models</t>
  </si>
  <si>
    <t>https://ojs.aaai.org/index.php/AAAI/article/view/26739
https://github.com/reddy-lab-code-research/CodeAttack</t>
  </si>
  <si>
    <t>Fine-grained smart contract vulnerability detection by heterogeneous code feature learning and automated dataset construction</t>
  </si>
  <si>
    <t>https://www.sciencedirect.com/science/article/abs/pii/S016412122300314X</t>
  </si>
  <si>
    <t>GPTFUZZER : Red Teaming Large Language Models with Auto-Generated Jailbreak Prompts</t>
  </si>
  <si>
    <t>https://github.com/sherdencooper/GPTFuzz
https://arxiv.org/pdf/2309.10253</t>
  </si>
  <si>
    <t>Large Language Models Are Zero-Shot Fuzzers: Fuzzing Deep-Learning Libraries via Large Language Models</t>
  </si>
  <si>
    <t>https://github.com/ise-uiuc/TitanFuzz
https://dl.acm.org/doi/abs/10.1145/3597926.3598067</t>
  </si>
  <si>
    <t>Large Language Models are Few-shot Testers: Exploring LLM-based General Bug Reproduction</t>
  </si>
  <si>
    <t>https://ieeexplore.ieee.org/document/10172763
https://github.com/coinse/libro</t>
  </si>
  <si>
    <t>VulnHunt-GPT: a Smart Contract vulnerabilities detector based on OpenAI chatGPT</t>
  </si>
  <si>
    <t>https://dl.acm.org/doi/pdf/10.1145/3605098.3636003</t>
  </si>
  <si>
    <t>LLM Agents can Autonomously Exploit One-day Vulnerabilities</t>
  </si>
  <si>
    <t>https://arxiv.org/pdf/2404.08144</t>
  </si>
  <si>
    <t>Exploring ChatGPT’s Capabilities on
Vulnerability Management</t>
  </si>
  <si>
    <t>https://www.usenix.org/system/files/usenixsecurity24-liu-peiyu.pdf
https://github.com/Jamrot/ChatGPT-Vulnerability-Management</t>
  </si>
  <si>
    <t>SyzRisk: A Change-Pattern-Based Continuous Kernel Regression Fuzzer</t>
  </si>
  <si>
    <t>https://nebelwelt.net/files/24AsiaCCS.pdf
https://github.com/HexHive/SyzRisk</t>
  </si>
  <si>
    <t>Fuzzing JavaScript Interpreters with Coverage-Guided Reinforcement Learning for LLM-Based Mutation</t>
  </si>
  <si>
    <t>https://dl.acm.org/doi/pdf/10.1145/3650212.3680389</t>
  </si>
  <si>
    <t>KHÔNG CHỌN</t>
  </si>
  <si>
    <t>How Effective Are They? Exploring Large Language Model Based Fuzz Driver Generation</t>
  </si>
  <si>
    <t>https://dl.acm.org/doi/pdf/10.1145/3650212.3680355</t>
  </si>
  <si>
    <t>Large Language Models are Edge-Case Generators: Crafting Unusual Programs for Fuzzing Deep Learning Libraries</t>
  </si>
  <si>
    <t>https://lingming.cs.illinois.edu/publications/icse2024b.pdf</t>
  </si>
  <si>
    <t>Pwn Lessons Made Easy With Docker: Towards an Undergraduate Vulnerability Research Cybersecurity Class</t>
  </si>
  <si>
    <t>https://dl.acm.org/doi/pdf/10.1145/3626252.3630911
https://github.com/tj-oconnor/undergrad-vr</t>
  </si>
  <si>
    <t>Empirical analysis of security vulnerabilities in Python packages</t>
  </si>
  <si>
    <t>https://link.springer.com/article/10.1007/s10664-022-10278-4</t>
  </si>
  <si>
    <t xml:space="preserve">An Abstract Syntax Tree based static fuzzing mutation for vulnerability evolution analysis
</t>
  </si>
  <si>
    <t>https://www.sciencedirect.com/science/article/pii/S0950584923000484</t>
  </si>
  <si>
    <t>Pwnable-Sherpa: An interactive coaching system with a case study of pwnable challenges</t>
  </si>
  <si>
    <t>https://www.sciencedirect.com/science/article/pii/S0167404822004011</t>
  </si>
  <si>
    <t>KHÔNG CHỌN (BT)</t>
  </si>
  <si>
    <t>C</t>
  </si>
  <si>
    <t>Tiêu chí đánh giá chung</t>
  </si>
  <si>
    <t>Tiêu chí</t>
  </si>
  <si>
    <t>Điểm thành phần</t>
  </si>
  <si>
    <t>Hiểu rõ ngữ cảnh, vai trò, vấn đề của bài toán &amp; Kỹ năng thuyết trình</t>
  </si>
  <si>
    <t>1đ</t>
  </si>
  <si>
    <t>Nắm bắt và giải thích được phương pháp - kỹ thuật được sử dụng</t>
  </si>
  <si>
    <t>4đ</t>
  </si>
  <si>
    <t>Hiện thực và demo: 
+ Đối với bài báo không có mã nguồn chia sẻ công khai: Hiện thực được một số giai đoạn hay các kỹ thuật chính được đề cập trong tài liệu; và Biện luận, phân tích ưu và nhược điểm của phương pháp.
+ Đối với bài báo có mã nguồn chia sẻ công khai: Tái hiện các thí nghiệm trong bài báo; và Biện luận, phân tích ưu và nhược điểm của phương pháp.</t>
  </si>
  <si>
    <t>Điểm cộng xuất sắc: 
+ Đối với bài báo không có mã nguồn công khai: Hiện thực được phương pháp và thực nghiệm kịch bản được đề cập trong tài liệu.
+ Đối với bài báo có mã nguồn chia sẻ công khai: Thực nghiệm bổ sung trên kịch bản mới hoặc dữ liệu mới; hoặc Cải tiến phương pháp và thực nghiệm trên kịch bản/dữ liệu có sẵn.</t>
  </si>
  <si>
    <t>DANH SÁCH NHÓM THẢO LUẬN HỌC PHẦN LÝ THUYẾT
MÔN HỌC: LẬP TRÌNH AN TOÀN VÀ KHAI THÁC LỖ HỔNG PHẦN MỀM
Học Kỳ I - Năm học 2022-2023</t>
  </si>
  <si>
    <t>Lớp NT521</t>
  </si>
  <si>
    <r>
      <rPr>
        <b/>
        <sz val="11"/>
        <color rgb="FF000000"/>
        <rFont val="Arial"/>
      </rPr>
      <t xml:space="preserve">Yêu cầu:
</t>
    </r>
    <r>
      <rPr>
        <sz val="11"/>
        <color rgb="FF000000"/>
        <rFont val="Arial"/>
      </rPr>
      <t xml:space="preserve">Lớp Tài năng: </t>
    </r>
    <r>
      <rPr>
        <b/>
        <sz val="11"/>
        <color rgb="FFFF0000"/>
        <rFont val="Arial"/>
      </rPr>
      <t xml:space="preserve">tối đa 3 SV/nhóm
</t>
    </r>
    <r>
      <rPr>
        <sz val="11"/>
        <color rgb="FF000000"/>
        <rFont val="Arial"/>
      </rPr>
      <t xml:space="preserve">Lớp Chương trình chuẩn: </t>
    </r>
    <r>
      <rPr>
        <b/>
        <sz val="11"/>
        <color rgb="FFFF0000"/>
        <rFont val="Arial"/>
      </rPr>
      <t>tối đa 4 SV/nhóm</t>
    </r>
  </si>
  <si>
    <t>***Lưu ý: 
+ Dự kiến: Đây là hình thức seminar tự chọn (Điểm cộng cho Nhóm SV thực hiện)
+Nội dung này được thực hiện theo hình thức seminar về cách thức khai thác lỗ hổng phần mềm cơ bản, ở phần 2 của môn học (Khai thác lỗ hổng phần mềm)
+ Yêu cầu demo dạng thực hiện giải 01 Challenge CTF thuộc mảng Pwnable với lỗ hổng phần mềm tương ứng
+ Mỗi nhóm chọn lựa và trình bày chủ đề trong 20 phút, bao gồm lý thuyết và demo</t>
  </si>
  <si>
    <t>Mã chủ đề</t>
  </si>
  <si>
    <t>Tên chủ đề seminar</t>
  </si>
  <si>
    <t>Ghi chú</t>
  </si>
  <si>
    <t>Mã nhóm đăng ký</t>
  </si>
  <si>
    <t>S01</t>
  </si>
  <si>
    <t>Stack-based buffer overflow</t>
  </si>
  <si>
    <t>- Kiến thức nền tảng
- Cách khai thác và biện pháp khắc phục
- Demo</t>
  </si>
  <si>
    <t> </t>
  </si>
  <si>
    <t>S02</t>
  </si>
  <si>
    <t>Integer overflow</t>
  </si>
  <si>
    <t>S03</t>
  </si>
  <si>
    <t>Format Strings</t>
  </si>
  <si>
    <t>S04</t>
  </si>
  <si>
    <t>ROP attack</t>
  </si>
  <si>
    <t>S05</t>
  </si>
  <si>
    <t>Off-by-one</t>
  </si>
  <si>
    <t>S06</t>
  </si>
  <si>
    <t xml:space="preserve">
Return-to-lib-C attack</t>
  </si>
  <si>
    <t>S07</t>
  </si>
  <si>
    <t>Heap Overflow
(Heap Exploit)</t>
  </si>
  <si>
    <t>S08</t>
  </si>
  <si>
    <t>HEap Use-After-Free</t>
  </si>
  <si>
    <t>S09</t>
  </si>
  <si>
    <t>Heap Double Free Attack</t>
  </si>
  <si>
    <t>DANH SÁCH NHÓM ĐỒ ÁN HỌC PHẦN LÝ THUYẾT
MÔN HỌC: LẬP TRÌNH AN TOÀN VÀ KHAI THÁC LỖ HỔNG PHẦN MỀM
Học Kỳ I - Năm học 2021 - 2022</t>
  </si>
  <si>
    <r>
      <rPr>
        <sz val="11"/>
        <color rgb="FF000000"/>
        <rFont val="Arial"/>
      </rPr>
      <t xml:space="preserve">Yêu cầu: </t>
    </r>
    <r>
      <rPr>
        <b/>
        <sz val="11"/>
        <color rgb="FFFF0000"/>
        <rFont val="Arial"/>
      </rPr>
      <t>tối đa 3 SV/nhóm</t>
    </r>
  </si>
  <si>
    <t>Mã nhóm</t>
  </si>
  <si>
    <t>Tên nhóm</t>
  </si>
  <si>
    <t>Thành viên nhóm
(ghi thông tin tất cả thành viên: MSSV - Họ tên)</t>
  </si>
  <si>
    <t>Seminar</t>
  </si>
  <si>
    <t>Báo cáo CK</t>
  </si>
  <si>
    <t xml:space="preserve">Mark seminar </t>
  </si>
  <si>
    <t>Ghi chú tiến độ</t>
  </si>
  <si>
    <t>BT Milestone</t>
  </si>
  <si>
    <t>G01</t>
  </si>
  <si>
    <t>G02</t>
  </si>
  <si>
    <t>G03</t>
  </si>
  <si>
    <t>G04</t>
  </si>
  <si>
    <t>G05</t>
  </si>
  <si>
    <t>G06</t>
  </si>
  <si>
    <t>G07</t>
  </si>
  <si>
    <t>G08</t>
  </si>
  <si>
    <t>G09</t>
  </si>
  <si>
    <t>G10</t>
  </si>
  <si>
    <t>G11</t>
  </si>
  <si>
    <t>G12</t>
  </si>
  <si>
    <t>G13</t>
  </si>
  <si>
    <t>G14</t>
  </si>
  <si>
    <t>G15</t>
  </si>
  <si>
    <t>G16</t>
  </si>
  <si>
    <t>G17</t>
  </si>
  <si>
    <t>G18</t>
  </si>
  <si>
    <t>G19</t>
  </si>
  <si>
    <t>G20</t>
  </si>
  <si>
    <r>
      <t xml:space="preserve">Yêu cầu: tối đa </t>
    </r>
    <r>
      <rPr>
        <b/>
        <sz val="11"/>
        <color rgb="FFFF0000"/>
        <rFont val="Arial"/>
        <family val="2"/>
      </rPr>
      <t>4 SV/nhóm</t>
    </r>
  </si>
  <si>
    <t>Đồ án cuối kỳ</t>
  </si>
  <si>
    <t>CK</t>
  </si>
  <si>
    <t>Điểm CK</t>
  </si>
  <si>
    <t>Seminar Mark</t>
  </si>
  <si>
    <t>Milestone</t>
  </si>
  <si>
    <t>Điểm milestone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</si>
</sst>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ont>
    <font>
      <b/>
      <sz val="11"/>
      <color theme="1"/>
      <name val="Arial"/>
    </font>
    <font>
      <sz val="11"/>
      <name val="Arial"/>
    </font>
    <font>
      <sz val="11"/>
      <color theme="1"/>
      <name val="Arial"/>
      <family val="2"/>
    </font>
    <font>
      <b/>
      <sz val="11"/>
      <color theme="1"/>
      <name val="Arial"/>
      <family val="2"/>
    </font>
    <font>
      <sz val="8"/>
      <name val="Arial"/>
      <family val="2"/>
    </font>
    <font>
      <b/>
      <sz val="11"/>
      <color theme="8"/>
      <name val="Arial"/>
      <family val="2"/>
    </font>
    <font>
      <sz val="11"/>
      <color rgb="FFFF0000"/>
      <name val="Arial"/>
      <family val="2"/>
    </font>
    <font>
      <b/>
      <sz val="11"/>
      <color rgb="FFFF0000"/>
      <name val="Arial"/>
      <family val="2"/>
    </font>
    <font>
      <u/>
      <sz val="11"/>
      <color theme="10"/>
      <name val="Arial"/>
    </font>
    <font>
      <sz val="11"/>
      <color rgb="FF000000"/>
      <name val="Arial"/>
      <charset val="1"/>
    </font>
    <font>
      <sz val="11"/>
      <color rgb="FFFF0000"/>
      <name val="Arial"/>
    </font>
    <font>
      <sz val="11"/>
      <color rgb="FF000000"/>
      <name val="Arial"/>
      <family val="2"/>
    </font>
    <font>
      <sz val="11"/>
      <color rgb="FF000000"/>
      <name val="Arial"/>
    </font>
    <font>
      <b/>
      <sz val="11"/>
      <color rgb="FF000000"/>
      <name val="Arial"/>
      <family val="2"/>
    </font>
    <font>
      <b/>
      <sz val="11"/>
      <color rgb="FF4472C4"/>
      <name val="Arial"/>
      <family val="2"/>
    </font>
    <font>
      <b/>
      <sz val="11"/>
      <color rgb="FFFF0000"/>
      <name val="Arial"/>
    </font>
    <font>
      <b/>
      <sz val="11"/>
      <color rgb="FF000000"/>
      <name val="Arial"/>
    </font>
    <font>
      <i/>
      <sz val="11"/>
      <color rgb="FF000000"/>
      <name val="Arial"/>
    </font>
    <font>
      <sz val="11"/>
      <color rgb="FF4472C4"/>
      <name val="Arial"/>
    </font>
    <font>
      <sz val="11"/>
      <color rgb="FF4472C4"/>
      <name val="Arial"/>
      <family val="2"/>
    </font>
    <font>
      <b/>
      <sz val="10"/>
      <color theme="1"/>
      <name val="Arial"/>
      <family val="2"/>
    </font>
    <font>
      <sz val="10"/>
      <color theme="1"/>
      <name val="Arial"/>
      <family val="2"/>
    </font>
    <font>
      <u/>
      <sz val="11"/>
      <color theme="10"/>
      <name val="Arial"/>
      <family val="2"/>
    </font>
    <font>
      <sz val="11"/>
      <name val="Arial"/>
      <family val="2"/>
    </font>
  </fonts>
  <fills count="7">
    <fill>
      <patternFill patternType="none"/>
    </fill>
    <fill>
      <patternFill patternType="gray125"/>
    </fill>
    <fill>
      <patternFill patternType="solid">
        <fgColor rgb="FFC5E0B3"/>
        <bgColor rgb="FFC5E0B3"/>
      </patternFill>
    </fill>
    <fill>
      <patternFill patternType="solid">
        <fgColor theme="8" tint="0.79998168889431442"/>
        <bgColor indexed="64"/>
      </patternFill>
    </fill>
    <fill>
      <patternFill patternType="solid">
        <fgColor theme="0"/>
        <bgColor indexed="64"/>
      </patternFill>
    </fill>
    <fill>
      <patternFill patternType="solid">
        <fgColor rgb="FFFFFFFF"/>
        <bgColor indexed="64"/>
      </patternFill>
    </fill>
    <fill>
      <patternFill patternType="solid">
        <fgColor rgb="FF999999"/>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top/>
      <bottom/>
      <diagonal/>
    </border>
    <border>
      <left style="thin">
        <color rgb="FF000000"/>
      </left>
      <right style="thin">
        <color rgb="FF000000"/>
      </right>
      <top/>
      <bottom/>
      <diagonal/>
    </border>
    <border>
      <left style="thin">
        <color indexed="64"/>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bottom/>
      <diagonal/>
    </border>
    <border>
      <left/>
      <right style="thin">
        <color indexed="64"/>
      </right>
      <top/>
      <bottom/>
      <diagonal/>
    </border>
  </borders>
  <cellStyleXfs count="2">
    <xf numFmtId="0" fontId="0" fillId="0" borderId="0"/>
    <xf numFmtId="0" fontId="9" fillId="0" borderId="0" applyNumberFormat="0" applyFill="0" applyBorder="0" applyAlignment="0" applyProtection="0"/>
  </cellStyleXfs>
  <cellXfs count="122">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4" xfId="0" applyBorder="1" applyAlignment="1">
      <alignment horizontal="left" vertical="center" wrapText="1"/>
    </xf>
    <xf numFmtId="0" fontId="0" fillId="0" borderId="4" xfId="0" applyBorder="1" applyAlignment="1">
      <alignment vertical="center" wrapText="1"/>
    </xf>
    <xf numFmtId="0" fontId="0" fillId="0" borderId="0" xfId="0" applyAlignment="1">
      <alignment vertical="center"/>
    </xf>
    <xf numFmtId="0" fontId="1" fillId="2" borderId="4" xfId="0" applyFont="1" applyFill="1" applyBorder="1" applyAlignment="1">
      <alignment vertical="center"/>
    </xf>
    <xf numFmtId="0" fontId="3" fillId="0" borderId="0" xfId="0" applyFont="1" applyAlignment="1">
      <alignment horizontal="center" vertical="center"/>
    </xf>
    <xf numFmtId="0" fontId="4" fillId="2" borderId="5" xfId="0" applyFont="1" applyFill="1" applyBorder="1" applyAlignment="1">
      <alignment vertical="center" wrapText="1"/>
    </xf>
    <xf numFmtId="0" fontId="3" fillId="0" borderId="4" xfId="0" applyFont="1" applyBorder="1" applyAlignment="1">
      <alignment vertical="center" wrapText="1"/>
    </xf>
    <xf numFmtId="0" fontId="3" fillId="0" borderId="4" xfId="0" quotePrefix="1" applyFont="1" applyBorder="1" applyAlignment="1">
      <alignment vertical="center" wrapText="1"/>
    </xf>
    <xf numFmtId="0" fontId="3" fillId="0" borderId="4" xfId="0" quotePrefix="1" applyFont="1" applyBorder="1" applyAlignment="1">
      <alignment horizontal="left" vertical="center" wrapText="1"/>
    </xf>
    <xf numFmtId="0" fontId="3" fillId="0" borderId="4" xfId="0" applyFont="1" applyBorder="1" applyAlignment="1">
      <alignment horizontal="center" vertical="center"/>
    </xf>
    <xf numFmtId="0" fontId="6" fillId="0" borderId="0" xfId="0" applyFont="1" applyAlignment="1">
      <alignment horizontal="center" vertical="center"/>
    </xf>
    <xf numFmtId="0" fontId="9" fillId="0" borderId="0" xfId="1"/>
    <xf numFmtId="0" fontId="3" fillId="4" borderId="4" xfId="0" applyFont="1" applyFill="1" applyBorder="1" applyAlignment="1">
      <alignment vertical="center" wrapText="1"/>
    </xf>
    <xf numFmtId="0" fontId="3" fillId="4" borderId="1" xfId="0" quotePrefix="1" applyFont="1" applyFill="1" applyBorder="1" applyAlignment="1">
      <alignment vertical="center" wrapText="1"/>
    </xf>
    <xf numFmtId="0" fontId="3" fillId="0" borderId="4" xfId="0" applyFont="1" applyBorder="1" applyAlignment="1">
      <alignment horizontal="center" vertical="center" wrapText="1"/>
    </xf>
    <xf numFmtId="0" fontId="0" fillId="0" borderId="4" xfId="0" applyBorder="1" applyAlignment="1">
      <alignment horizontal="center" vertical="center" wrapText="1"/>
    </xf>
    <xf numFmtId="0" fontId="3" fillId="0" borderId="4" xfId="0" applyFont="1" applyBorder="1" applyAlignment="1">
      <alignment horizontal="left" vertical="center" wrapText="1"/>
    </xf>
    <xf numFmtId="0" fontId="0" fillId="0" borderId="4" xfId="0" quotePrefix="1" applyBorder="1" applyAlignment="1">
      <alignment horizontal="left" vertical="center" wrapText="1"/>
    </xf>
    <xf numFmtId="0" fontId="13" fillId="0" borderId="0" xfId="0" applyFont="1" applyAlignment="1">
      <alignment wrapText="1"/>
    </xf>
    <xf numFmtId="0" fontId="14" fillId="2" borderId="4" xfId="0" applyFont="1" applyFill="1" applyBorder="1" applyAlignment="1">
      <alignment wrapText="1"/>
    </xf>
    <xf numFmtId="0" fontId="14" fillId="2" borderId="3" xfId="0" applyFont="1" applyFill="1" applyBorder="1" applyAlignment="1">
      <alignment wrapText="1"/>
    </xf>
    <xf numFmtId="0" fontId="14" fillId="2" borderId="7" xfId="0" applyFont="1" applyFill="1" applyBorder="1" applyAlignment="1">
      <alignment wrapText="1"/>
    </xf>
    <xf numFmtId="0" fontId="13" fillId="0" borderId="8" xfId="0" applyFont="1" applyBorder="1" applyAlignment="1">
      <alignment wrapText="1"/>
    </xf>
    <xf numFmtId="0" fontId="13" fillId="0" borderId="9" xfId="0" applyFont="1" applyBorder="1" applyAlignment="1">
      <alignment wrapText="1"/>
    </xf>
    <xf numFmtId="0" fontId="13" fillId="0" borderId="9" xfId="0" quotePrefix="1" applyFont="1" applyBorder="1" applyAlignment="1">
      <alignment wrapText="1"/>
    </xf>
    <xf numFmtId="0" fontId="13" fillId="0" borderId="10" xfId="0" applyFont="1" applyBorder="1" applyAlignment="1">
      <alignment wrapText="1"/>
    </xf>
    <xf numFmtId="0" fontId="13" fillId="0" borderId="11" xfId="0" applyFont="1" applyBorder="1" applyAlignment="1">
      <alignment wrapText="1"/>
    </xf>
    <xf numFmtId="0" fontId="13" fillId="0" borderId="3" xfId="0" applyFont="1" applyBorder="1" applyAlignment="1">
      <alignment wrapText="1"/>
    </xf>
    <xf numFmtId="0" fontId="0" fillId="0" borderId="4" xfId="0" applyBorder="1"/>
    <xf numFmtId="0" fontId="7" fillId="0" borderId="4" xfId="0" applyFont="1" applyBorder="1"/>
    <xf numFmtId="0" fontId="4" fillId="2" borderId="12" xfId="0" applyFont="1" applyFill="1" applyBorder="1" applyAlignment="1">
      <alignment vertical="center" wrapText="1"/>
    </xf>
    <xf numFmtId="0" fontId="4" fillId="2" borderId="13" xfId="0" applyFont="1" applyFill="1" applyBorder="1" applyAlignment="1">
      <alignment vertical="center" wrapText="1"/>
    </xf>
    <xf numFmtId="0" fontId="9" fillId="0" borderId="1" xfId="1" quotePrefix="1" applyBorder="1" applyAlignment="1">
      <alignment vertical="center" wrapText="1"/>
    </xf>
    <xf numFmtId="0" fontId="9" fillId="0" borderId="1" xfId="1" applyBorder="1" applyAlignment="1">
      <alignment vertical="center" wrapText="1"/>
    </xf>
    <xf numFmtId="0" fontId="0" fillId="0" borderId="4" xfId="0" applyBorder="1" applyAlignment="1">
      <alignment wrapText="1"/>
    </xf>
    <xf numFmtId="0" fontId="10" fillId="0" borderId="4" xfId="0" applyFont="1" applyBorder="1"/>
    <xf numFmtId="0" fontId="11" fillId="0" borderId="4" xfId="0" applyFont="1" applyBorder="1" applyAlignment="1">
      <alignment horizontal="center" vertical="center" wrapText="1"/>
    </xf>
    <xf numFmtId="0" fontId="0" fillId="0" borderId="4" xfId="0" applyBorder="1" applyAlignment="1">
      <alignment horizontal="center" wrapText="1"/>
    </xf>
    <xf numFmtId="0" fontId="7" fillId="0" borderId="4" xfId="0" applyFont="1" applyBorder="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2" borderId="5" xfId="0" applyFont="1" applyFill="1" applyBorder="1" applyAlignment="1">
      <alignment vertical="center"/>
    </xf>
    <xf numFmtId="0" fontId="1" fillId="2" borderId="5" xfId="0" applyFont="1" applyFill="1" applyBorder="1" applyAlignment="1">
      <alignment vertical="center" wrapText="1"/>
    </xf>
    <xf numFmtId="0" fontId="0" fillId="0" borderId="8" xfId="0" applyBorder="1" applyAlignment="1">
      <alignment vertical="center" wrapText="1"/>
    </xf>
    <xf numFmtId="0" fontId="3" fillId="0" borderId="8" xfId="0" quotePrefix="1" applyFont="1" applyBorder="1" applyAlignment="1">
      <alignment horizontal="left" vertical="center" wrapText="1"/>
    </xf>
    <xf numFmtId="0" fontId="0" fillId="0" borderId="14" xfId="0" applyBorder="1"/>
    <xf numFmtId="0" fontId="0" fillId="0" borderId="8" xfId="0" applyBorder="1"/>
    <xf numFmtId="0" fontId="12" fillId="0" borderId="4" xfId="0" applyFont="1" applyBorder="1" applyAlignment="1">
      <alignment wrapText="1"/>
    </xf>
    <xf numFmtId="0" fontId="0" fillId="0" borderId="1" xfId="0" applyBorder="1" applyAlignment="1">
      <alignment horizontal="center" vertical="center" wrapText="1"/>
    </xf>
    <xf numFmtId="0" fontId="9" fillId="4" borderId="1" xfId="1" quotePrefix="1" applyFill="1" applyBorder="1" applyAlignment="1">
      <alignment vertical="center" wrapText="1"/>
    </xf>
    <xf numFmtId="0" fontId="8" fillId="0" borderId="0" xfId="0" applyFont="1" applyAlignment="1">
      <alignment horizontal="left" vertical="center" wrapText="1"/>
    </xf>
    <xf numFmtId="0" fontId="17" fillId="2" borderId="4" xfId="0" applyFont="1" applyFill="1" applyBorder="1" applyAlignment="1">
      <alignment vertical="center" wrapText="1"/>
    </xf>
    <xf numFmtId="0" fontId="14" fillId="0" borderId="4" xfId="0" applyFont="1" applyBorder="1" applyAlignment="1">
      <alignment wrapText="1"/>
    </xf>
    <xf numFmtId="0" fontId="13" fillId="0" borderId="4" xfId="0" applyFont="1" applyBorder="1" applyAlignment="1">
      <alignment wrapText="1"/>
    </xf>
    <xf numFmtId="0" fontId="15" fillId="0" borderId="4" xfId="0" applyFont="1" applyBorder="1" applyAlignment="1">
      <alignment wrapText="1"/>
    </xf>
    <xf numFmtId="0" fontId="13" fillId="0" borderId="4" xfId="0" applyFont="1" applyBorder="1" applyAlignment="1">
      <alignment horizontal="center" wrapText="1"/>
    </xf>
    <xf numFmtId="0" fontId="3" fillId="5" borderId="4" xfId="0" applyFont="1" applyFill="1" applyBorder="1" applyAlignment="1">
      <alignment vertical="center" wrapText="1"/>
    </xf>
    <xf numFmtId="0" fontId="9" fillId="5" borderId="1" xfId="1" applyFill="1" applyBorder="1" applyAlignment="1">
      <alignment vertical="center" wrapText="1"/>
    </xf>
    <xf numFmtId="0" fontId="7" fillId="5" borderId="6" xfId="0" applyFont="1" applyFill="1" applyBorder="1" applyAlignment="1">
      <alignment wrapText="1"/>
    </xf>
    <xf numFmtId="0" fontId="0" fillId="0" borderId="0" xfId="0" applyAlignment="1">
      <alignment wrapText="1"/>
    </xf>
    <xf numFmtId="0" fontId="0" fillId="4" borderId="6" xfId="0" applyFill="1" applyBorder="1" applyAlignment="1">
      <alignment wrapText="1"/>
    </xf>
    <xf numFmtId="0" fontId="7" fillId="0" borderId="6" xfId="0" applyFont="1" applyBorder="1" applyAlignment="1">
      <alignment wrapText="1"/>
    </xf>
    <xf numFmtId="0" fontId="21" fillId="0" borderId="15" xfId="0" applyFont="1" applyBorder="1" applyAlignment="1">
      <alignment vertical="center"/>
    </xf>
    <xf numFmtId="0" fontId="22" fillId="0" borderId="15" xfId="0" applyFont="1" applyBorder="1" applyAlignment="1">
      <alignment wrapText="1"/>
    </xf>
    <xf numFmtId="0" fontId="22" fillId="0" borderId="16" xfId="0" applyFont="1" applyBorder="1" applyAlignment="1">
      <alignment wrapText="1"/>
    </xf>
    <xf numFmtId="0" fontId="22" fillId="6" borderId="17" xfId="0" applyFont="1" applyFill="1" applyBorder="1" applyAlignment="1">
      <alignment wrapText="1"/>
    </xf>
    <xf numFmtId="0" fontId="22" fillId="6" borderId="18" xfId="0" applyFont="1" applyFill="1" applyBorder="1" applyAlignment="1">
      <alignment wrapText="1"/>
    </xf>
    <xf numFmtId="0" fontId="22" fillId="0" borderId="17" xfId="0" applyFont="1" applyBorder="1" applyAlignment="1">
      <alignment horizontal="right" wrapText="1"/>
    </xf>
    <xf numFmtId="0" fontId="22" fillId="0" borderId="18" xfId="0" applyFont="1" applyBorder="1" applyAlignment="1">
      <alignment wrapText="1"/>
    </xf>
    <xf numFmtId="0" fontId="22" fillId="0" borderId="17" xfId="0" applyFont="1" applyBorder="1" applyAlignment="1">
      <alignment wrapText="1"/>
    </xf>
    <xf numFmtId="0" fontId="23" fillId="5" borderId="1" xfId="1" applyFont="1" applyFill="1" applyBorder="1" applyAlignment="1">
      <alignment vertical="center" wrapText="1"/>
    </xf>
    <xf numFmtId="0" fontId="3" fillId="0" borderId="0" xfId="0" applyFont="1" applyAlignment="1">
      <alignment wrapText="1"/>
    </xf>
    <xf numFmtId="0" fontId="0" fillId="0" borderId="6" xfId="0" applyBorder="1"/>
    <xf numFmtId="0" fontId="24" fillId="5" borderId="6" xfId="0" applyFont="1" applyFill="1" applyBorder="1" applyAlignment="1">
      <alignment wrapText="1"/>
    </xf>
    <xf numFmtId="0" fontId="3" fillId="0" borderId="6" xfId="0" applyFont="1" applyBorder="1"/>
    <xf numFmtId="0" fontId="3" fillId="3" borderId="3" xfId="0" applyFont="1" applyFill="1" applyBorder="1" applyAlignment="1">
      <alignment horizontal="center" vertical="center"/>
    </xf>
    <xf numFmtId="0" fontId="3" fillId="0" borderId="6" xfId="0" applyFont="1" applyBorder="1" applyAlignment="1">
      <alignment vertical="center" wrapText="1"/>
    </xf>
    <xf numFmtId="0" fontId="9" fillId="0" borderId="6" xfId="1" applyBorder="1" applyAlignment="1">
      <alignment vertical="center" wrapText="1"/>
    </xf>
    <xf numFmtId="0" fontId="0" fillId="0" borderId="6" xfId="0" applyBorder="1" applyAlignment="1">
      <alignment wrapText="1"/>
    </xf>
    <xf numFmtId="0" fontId="9" fillId="0" borderId="1" xfId="1" quotePrefix="1" applyFill="1" applyBorder="1" applyAlignment="1">
      <alignment vertical="center" wrapText="1"/>
    </xf>
    <xf numFmtId="0" fontId="3" fillId="0" borderId="6" xfId="0" applyFont="1" applyBorder="1" applyAlignment="1">
      <alignment wrapText="1"/>
    </xf>
    <xf numFmtId="0" fontId="24" fillId="0" borderId="6" xfId="0" applyFont="1" applyBorder="1" applyAlignment="1">
      <alignment wrapText="1"/>
    </xf>
    <xf numFmtId="0" fontId="23" fillId="0" borderId="1" xfId="1" quotePrefix="1" applyFont="1" applyFill="1" applyBorder="1" applyAlignment="1">
      <alignment vertical="center" wrapText="1"/>
    </xf>
    <xf numFmtId="0" fontId="23" fillId="0" borderId="6" xfId="1" applyFont="1" applyBorder="1" applyAlignment="1">
      <alignment vertical="center" wrapText="1"/>
    </xf>
    <xf numFmtId="0" fontId="23" fillId="4" borderId="1" xfId="1" quotePrefix="1" applyFont="1" applyFill="1" applyBorder="1" applyAlignment="1">
      <alignment vertical="center" wrapText="1"/>
    </xf>
    <xf numFmtId="0" fontId="3" fillId="4" borderId="6" xfId="0" applyFont="1" applyFill="1" applyBorder="1" applyAlignment="1">
      <alignment wrapText="1"/>
    </xf>
    <xf numFmtId="0" fontId="0" fillId="0" borderId="6" xfId="0" applyBorder="1" applyAlignment="1">
      <alignment horizontal="center"/>
    </xf>
    <xf numFmtId="0" fontId="3" fillId="3" borderId="7" xfId="0" applyFont="1" applyFill="1" applyBorder="1" applyAlignment="1">
      <alignment horizontal="center" vertical="center"/>
    </xf>
    <xf numFmtId="0" fontId="3" fillId="0" borderId="20" xfId="0" applyFont="1" applyBorder="1" applyAlignment="1">
      <alignment vertical="center" wrapText="1"/>
    </xf>
    <xf numFmtId="0" fontId="9" fillId="0" borderId="19" xfId="1" applyBorder="1" applyAlignment="1">
      <alignment vertical="center" wrapText="1"/>
    </xf>
    <xf numFmtId="0" fontId="7" fillId="0" borderId="19" xfId="0" applyFont="1" applyBorder="1" applyAlignment="1">
      <alignment wrapText="1"/>
    </xf>
    <xf numFmtId="0" fontId="3" fillId="0" borderId="19" xfId="0" applyFont="1" applyBorder="1"/>
    <xf numFmtId="0" fontId="3" fillId="3" borderId="4" xfId="0" applyFont="1" applyFill="1" applyBorder="1" applyAlignment="1">
      <alignment horizontal="center" vertical="center"/>
    </xf>
    <xf numFmtId="0" fontId="0" fillId="0" borderId="3" xfId="0" applyBorder="1" applyAlignment="1">
      <alignment vertical="center" wrapText="1"/>
    </xf>
    <xf numFmtId="0" fontId="3" fillId="0" borderId="0" xfId="0" applyFont="1" applyAlignment="1">
      <alignment vertical="center" wrapText="1"/>
    </xf>
    <xf numFmtId="0" fontId="9" fillId="0" borderId="0" xfId="1" quotePrefix="1" applyFill="1" applyBorder="1" applyAlignment="1">
      <alignment vertical="center" wrapText="1"/>
    </xf>
    <xf numFmtId="0" fontId="0" fillId="0" borderId="3" xfId="0" applyBorder="1"/>
    <xf numFmtId="0" fontId="0" fillId="0" borderId="4" xfId="0" applyBorder="1" applyAlignment="1">
      <alignment vertical="center"/>
    </xf>
    <xf numFmtId="0" fontId="3" fillId="3" borderId="5" xfId="0" applyFont="1" applyFill="1" applyBorder="1" applyAlignment="1">
      <alignment horizontal="center" vertical="center"/>
    </xf>
    <xf numFmtId="0" fontId="3" fillId="0" borderId="5" xfId="0" applyFont="1" applyBorder="1" applyAlignment="1">
      <alignment vertical="center" wrapText="1"/>
    </xf>
    <xf numFmtId="0" fontId="9" fillId="0" borderId="21" xfId="1" quotePrefix="1" applyFill="1" applyBorder="1" applyAlignment="1">
      <alignment vertical="center" wrapText="1"/>
    </xf>
    <xf numFmtId="0" fontId="7" fillId="0" borderId="5" xfId="0" applyFont="1" applyBorder="1" applyAlignment="1">
      <alignment wrapText="1"/>
    </xf>
    <xf numFmtId="0" fontId="13" fillId="0" borderId="4" xfId="0" quotePrefix="1" applyFont="1" applyBorder="1" applyAlignment="1">
      <alignment wrapText="1"/>
    </xf>
    <xf numFmtId="0" fontId="13" fillId="0" borderId="13" xfId="0" applyFont="1" applyBorder="1" applyAlignment="1">
      <alignment wrapText="1"/>
    </xf>
    <xf numFmtId="0" fontId="13" fillId="0" borderId="22" xfId="0" applyFont="1" applyBorder="1" applyAlignment="1">
      <alignment wrapText="1"/>
    </xf>
    <xf numFmtId="0" fontId="13" fillId="0" borderId="22" xfId="0" quotePrefix="1" applyFont="1" applyBorder="1" applyAlignment="1">
      <alignment wrapText="1"/>
    </xf>
    <xf numFmtId="0" fontId="13" fillId="0" borderId="23" xfId="0" applyFont="1" applyBorder="1" applyAlignment="1">
      <alignment wrapText="1"/>
    </xf>
    <xf numFmtId="0" fontId="13" fillId="0" borderId="1" xfId="0" applyFont="1" applyBorder="1" applyAlignment="1">
      <alignment wrapText="1"/>
    </xf>
    <xf numFmtId="0" fontId="4" fillId="0" borderId="0" xfId="0" applyFont="1" applyAlignment="1">
      <alignment vertical="center" wrapText="1"/>
    </xf>
    <xf numFmtId="0" fontId="20" fillId="0" borderId="0" xfId="0" applyFont="1" applyAlignment="1">
      <alignment horizontal="left" vertical="center" wrapText="1"/>
    </xf>
    <xf numFmtId="0" fontId="19" fillId="0" borderId="0" xfId="0" applyFont="1" applyAlignment="1">
      <alignment horizontal="left" vertical="center" wrapText="1"/>
    </xf>
    <xf numFmtId="0" fontId="14" fillId="0" borderId="4" xfId="0" applyFont="1" applyBorder="1" applyAlignment="1">
      <alignment wrapText="1"/>
    </xf>
    <xf numFmtId="0" fontId="15" fillId="0" borderId="4" xfId="0" applyFont="1"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vertical="center" wrapText="1"/>
    </xf>
    <xf numFmtId="0" fontId="2" fillId="0" borderId="2" xfId="0" applyFont="1" applyBorder="1"/>
    <xf numFmtId="0" fontId="0" fillId="0" borderId="4" xfId="0" applyBorder="1" applyAlignment="1">
      <alignment horizont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usenix.org/conference/usenixsecurity18/presentation/wu-wei" TargetMode="External"/><Relationship Id="rId21" Type="http://schemas.openxmlformats.org/officeDocument/2006/relationships/hyperlink" Target="https://link.springer.com/article/10.1186/s42400-023-00148-x" TargetMode="External"/><Relationship Id="rId34" Type="http://schemas.openxmlformats.org/officeDocument/2006/relationships/hyperlink" Target="https://dl.acm.org/doi/abs/10.1145/3524842.3528433" TargetMode="External"/><Relationship Id="rId42" Type="http://schemas.openxmlformats.org/officeDocument/2006/relationships/hyperlink" Target="https://ieeexplore.ieee.org/abstract/document/10272603" TargetMode="External"/><Relationship Id="rId47" Type="http://schemas.openxmlformats.org/officeDocument/2006/relationships/hyperlink" Target="https://link.springer.com/article/10.1007/s10515-024-00413-4" TargetMode="External"/><Relationship Id="rId50" Type="http://schemas.openxmlformats.org/officeDocument/2006/relationships/hyperlink" Target="https://link.springer.com/article/10.1007/s10664-022-10278-4" TargetMode="External"/><Relationship Id="rId55" Type="http://schemas.openxmlformats.org/officeDocument/2006/relationships/hyperlink" Target="https://www.sciencedirect.com/science/article/abs/pii/S016412122300314X" TargetMode="External"/><Relationship Id="rId63" Type="http://schemas.openxmlformats.org/officeDocument/2006/relationships/hyperlink" Target="https://dl.acm.org/doi/abs/10.1145/3611643.3616336" TargetMode="External"/><Relationship Id="rId7" Type="http://schemas.openxmlformats.org/officeDocument/2006/relationships/hyperlink" Target="https://www.nature.com/articles/s41598-023-31280-w" TargetMode="External"/><Relationship Id="rId2" Type="http://schemas.openxmlformats.org/officeDocument/2006/relationships/hyperlink" Target="https://www.sciencedirect.com/science/article/pii/S0957417420310332" TargetMode="External"/><Relationship Id="rId16" Type="http://schemas.openxmlformats.org/officeDocument/2006/relationships/hyperlink" Target="https://dl.acm.org/doi/abs/10.1145/3597926.3598142" TargetMode="External"/><Relationship Id="rId29" Type="http://schemas.openxmlformats.org/officeDocument/2006/relationships/hyperlink" Target="https://dl.acm.org/doi/abs/10.1145/3627106.3627138" TargetMode="External"/><Relationship Id="rId11" Type="http://schemas.openxmlformats.org/officeDocument/2006/relationships/hyperlink" Target="https://www.sciencedirect.com/science/article/abs/pii/S0164121223000183" TargetMode="External"/><Relationship Id="rId24" Type="http://schemas.openxmlformats.org/officeDocument/2006/relationships/hyperlink" Target="https://dl.acm.org/doi/pdf/10.1145/3538969.3543815" TargetMode="External"/><Relationship Id="rId32" Type="http://schemas.openxmlformats.org/officeDocument/2006/relationships/hyperlink" Target="https://ieeexplore.ieee.org/abstract/document/10402095" TargetMode="External"/><Relationship Id="rId37" Type="http://schemas.openxmlformats.org/officeDocument/2006/relationships/hyperlink" Target="https://www.usenix.org/system/files/usenixsecurity23-li-wen.pdf" TargetMode="External"/><Relationship Id="rId40" Type="http://schemas.openxmlformats.org/officeDocument/2006/relationships/hyperlink" Target="https://arxiv.org/pdf/2309.03006" TargetMode="External"/><Relationship Id="rId45" Type="http://schemas.openxmlformats.org/officeDocument/2006/relationships/hyperlink" Target="https://ieeexplore.ieee.org/abstract/document/10172870" TargetMode="External"/><Relationship Id="rId53" Type="http://schemas.openxmlformats.org/officeDocument/2006/relationships/hyperlink" Target="https://dl.acm.org/doi/abs/10.1145/3540250.3549098" TargetMode="External"/><Relationship Id="rId58" Type="http://schemas.openxmlformats.org/officeDocument/2006/relationships/hyperlink" Target="https://ieeexplore.ieee.org/document/10172763" TargetMode="External"/><Relationship Id="rId66" Type="http://schemas.openxmlformats.org/officeDocument/2006/relationships/hyperlink" Target="https://link.springer.com/article/10.1007/s11227-024-05954-9" TargetMode="External"/><Relationship Id="rId5" Type="http://schemas.openxmlformats.org/officeDocument/2006/relationships/hyperlink" Target="https://dl.acm.org/doi/abs/10.1145/3604611" TargetMode="External"/><Relationship Id="rId61" Type="http://schemas.openxmlformats.org/officeDocument/2006/relationships/hyperlink" Target="https://dl.acm.org/doi/pdf/10.1145/3650212.3680355" TargetMode="External"/><Relationship Id="rId19" Type="http://schemas.openxmlformats.org/officeDocument/2006/relationships/hyperlink" Target="https://www.nature.com/articles/s41598-022-07355-5" TargetMode="External"/><Relationship Id="rId14" Type="http://schemas.openxmlformats.org/officeDocument/2006/relationships/hyperlink" Target="https://dl.acm.org/doi/10.1145/3524842.3528452" TargetMode="External"/><Relationship Id="rId22" Type="http://schemas.openxmlformats.org/officeDocument/2006/relationships/hyperlink" Target="https://ieeexplore.ieee.org/document/9309254" TargetMode="External"/><Relationship Id="rId27" Type="http://schemas.openxmlformats.org/officeDocument/2006/relationships/hyperlink" Target="https://www.usenix.org/system/files/raid20-nguyen.pdf" TargetMode="External"/><Relationship Id="rId30" Type="http://schemas.openxmlformats.org/officeDocument/2006/relationships/hyperlink" Target="https://ink.library.smu.edu.sg/cgi/viewcontent.cgi?article=9346&amp;context=sis_research" TargetMode="External"/><Relationship Id="rId35" Type="http://schemas.openxmlformats.org/officeDocument/2006/relationships/hyperlink" Target="https://galoisinc.github.io/MATE/" TargetMode="External"/><Relationship Id="rId43" Type="http://schemas.openxmlformats.org/officeDocument/2006/relationships/hyperlink" Target="https://www.mdpi.com/2073-8994/15/12/2197" TargetMode="External"/><Relationship Id="rId48" Type="http://schemas.openxmlformats.org/officeDocument/2006/relationships/hyperlink" Target="https://www.sciencedirect.com/science/article/abs/pii/S0167404824001032" TargetMode="External"/><Relationship Id="rId56" Type="http://schemas.openxmlformats.org/officeDocument/2006/relationships/hyperlink" Target="https://lingming.cs.illinois.edu/publications/icse2024b.pdf" TargetMode="External"/><Relationship Id="rId64" Type="http://schemas.openxmlformats.org/officeDocument/2006/relationships/hyperlink" Target="https://www.sciencedirect.com/science/article/pii/S0950584923000484" TargetMode="External"/><Relationship Id="rId8" Type="http://schemas.openxmlformats.org/officeDocument/2006/relationships/hyperlink" Target="https://dl.acm.org/doi/abs/10.1145/3524842.3527949" TargetMode="External"/><Relationship Id="rId51" Type="http://schemas.openxmlformats.org/officeDocument/2006/relationships/hyperlink" Target="https://www.sciencedirect.com/science/article/pii/S2667295223000466" TargetMode="External"/><Relationship Id="rId3" Type="http://schemas.openxmlformats.org/officeDocument/2006/relationships/hyperlink" Target="https://ieeexplore.ieee.org/document/9054952" TargetMode="External"/><Relationship Id="rId12" Type="http://schemas.openxmlformats.org/officeDocument/2006/relationships/hyperlink" Target="https://arxiv.org/pdf/2306.12643.pdf" TargetMode="External"/><Relationship Id="rId17" Type="http://schemas.openxmlformats.org/officeDocument/2006/relationships/hyperlink" Target="https://ieeexplore.ieee.org/document/9293321" TargetMode="External"/><Relationship Id="rId25" Type="http://schemas.openxmlformats.org/officeDocument/2006/relationships/hyperlink" Target="https://www.usenix.org/conference/usenixsecurity20/presentation/chen-weiteng" TargetMode="External"/><Relationship Id="rId33" Type="http://schemas.openxmlformats.org/officeDocument/2006/relationships/hyperlink" Target="https://alrawi.github.io/static/papers/supply-chain-NDSS21.pdf" TargetMode="External"/><Relationship Id="rId38" Type="http://schemas.openxmlformats.org/officeDocument/2006/relationships/hyperlink" Target="https://dl.acm.org/doi/pdf/10.1145/3597926.3598059" TargetMode="External"/><Relationship Id="rId46" Type="http://schemas.openxmlformats.org/officeDocument/2006/relationships/hyperlink" Target="https://github.com/GCMiner" TargetMode="External"/><Relationship Id="rId59" Type="http://schemas.openxmlformats.org/officeDocument/2006/relationships/hyperlink" Target="https://dl.acm.org/doi/pdf/10.1145/3605098.3636003" TargetMode="External"/><Relationship Id="rId67" Type="http://schemas.openxmlformats.org/officeDocument/2006/relationships/printerSettings" Target="../printerSettings/printerSettings1.bin"/><Relationship Id="rId20" Type="http://schemas.openxmlformats.org/officeDocument/2006/relationships/hyperlink" Target="https://yanxiao6.github.io/papers/BiAn.pdf" TargetMode="External"/><Relationship Id="rId41" Type="http://schemas.openxmlformats.org/officeDocument/2006/relationships/hyperlink" Target="https://arxiv.org/pdf/2408.10116" TargetMode="External"/><Relationship Id="rId54" Type="http://schemas.openxmlformats.org/officeDocument/2006/relationships/hyperlink" Target="https://github.com/Xin-Cheng-Wen/MAGNET" TargetMode="External"/><Relationship Id="rId62" Type="http://schemas.openxmlformats.org/officeDocument/2006/relationships/hyperlink" Target="https://dl.acm.org/doi/pdf/10.1145/3650212.3680389" TargetMode="External"/><Relationship Id="rId1" Type="http://schemas.openxmlformats.org/officeDocument/2006/relationships/hyperlink" Target="https://www.usenix.org/conference/usenixsecurity22/presentation/vadayath" TargetMode="External"/><Relationship Id="rId6" Type="http://schemas.openxmlformats.org/officeDocument/2006/relationships/hyperlink" Target="https://ieeexplore.ieee.org/document/9325042" TargetMode="External"/><Relationship Id="rId15" Type="http://schemas.openxmlformats.org/officeDocument/2006/relationships/hyperlink" Target="https://www.sciencedirect.com/science/article/abs/pii/S0167404823001578" TargetMode="External"/><Relationship Id="rId23" Type="http://schemas.openxmlformats.org/officeDocument/2006/relationships/hyperlink" Target="https://ieeexplore.ieee.org/abstract/document/10681120" TargetMode="External"/><Relationship Id="rId28" Type="http://schemas.openxmlformats.org/officeDocument/2006/relationships/hyperlink" Target="https://link.springer.com/article/10.1007/s10664-023-10415-7" TargetMode="External"/><Relationship Id="rId36" Type="http://schemas.openxmlformats.org/officeDocument/2006/relationships/hyperlink" Target="https://dl.acm.org/doi/pdf/10.1145/3597503.3639121" TargetMode="External"/><Relationship Id="rId49" Type="http://schemas.openxmlformats.org/officeDocument/2006/relationships/hyperlink" Target="https://www.sciencedirect.com/science/article/abs/pii/S0950584921002421" TargetMode="External"/><Relationship Id="rId57" Type="http://schemas.openxmlformats.org/officeDocument/2006/relationships/hyperlink" Target="https://aclanthology.org/2022.findings-emnlp.57/" TargetMode="External"/><Relationship Id="rId10" Type="http://schemas.openxmlformats.org/officeDocument/2006/relationships/hyperlink" Target="https://ieeexplore.ieee.org/document/10149539" TargetMode="External"/><Relationship Id="rId31" Type="http://schemas.openxmlformats.org/officeDocument/2006/relationships/hyperlink" Target="https://github.com/githubnext/amalfi-artifact" TargetMode="External"/><Relationship Id="rId44" Type="http://schemas.openxmlformats.org/officeDocument/2006/relationships/hyperlink" Target="https://www.mdpi.com/2076-3417/13/23/12556" TargetMode="External"/><Relationship Id="rId52" Type="http://schemas.openxmlformats.org/officeDocument/2006/relationships/hyperlink" Target="https://dl.acm.org/doi/pdf/10.1145/3545948.3545975" TargetMode="External"/><Relationship Id="rId60" Type="http://schemas.openxmlformats.org/officeDocument/2006/relationships/hyperlink" Target="https://arxiv.org/pdf/2404.08144" TargetMode="External"/><Relationship Id="rId65" Type="http://schemas.openxmlformats.org/officeDocument/2006/relationships/hyperlink" Target="https://www.sciencedirect.com/science/article/pii/S0167404822004011" TargetMode="External"/><Relationship Id="rId4" Type="http://schemas.openxmlformats.org/officeDocument/2006/relationships/hyperlink" Target="https://www.sciencedirect.com/science/article/abs/pii/S0167404822002176" TargetMode="External"/><Relationship Id="rId9" Type="http://schemas.openxmlformats.org/officeDocument/2006/relationships/hyperlink" Target="https://www.usenix.org/system/files/sec23summer_449-mirsky-prepub.pdf" TargetMode="External"/><Relationship Id="rId13" Type="http://schemas.openxmlformats.org/officeDocument/2006/relationships/hyperlink" Target="https://dl.acm.org/doi/abs/10.1145/3564625.3564655" TargetMode="External"/><Relationship Id="rId18" Type="http://schemas.openxmlformats.org/officeDocument/2006/relationships/hyperlink" Target="https://dl.acm.org/doi/abs/10.1145/3533767.3534367" TargetMode="External"/><Relationship Id="rId39" Type="http://schemas.openxmlformats.org/officeDocument/2006/relationships/hyperlink" Target="https://ieeexplore.ieee.org/abstract/document/1059777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3D40-2376-49A3-B6B3-0FF65819F924}">
  <dimension ref="A2:P147"/>
  <sheetViews>
    <sheetView topLeftCell="A23" workbookViewId="0">
      <selection activeCell="D25" sqref="D25"/>
    </sheetView>
  </sheetViews>
  <sheetFormatPr defaultColWidth="12.59765625" defaultRowHeight="13.8" x14ac:dyDescent="0.25"/>
  <cols>
    <col min="2" max="2" width="13.69921875" customWidth="1"/>
    <col min="3" max="3" width="42.3984375" customWidth="1"/>
    <col min="4" max="4" width="44.59765625" customWidth="1"/>
    <col min="5" max="5" width="19.59765625" style="62" customWidth="1"/>
    <col min="6" max="6" width="16.19921875" customWidth="1"/>
    <col min="7" max="26" width="7.59765625" customWidth="1"/>
  </cols>
  <sheetData>
    <row r="2" spans="1:13" x14ac:dyDescent="0.25">
      <c r="B2" s="111" t="s">
        <v>0</v>
      </c>
      <c r="C2" s="111"/>
      <c r="D2" s="111"/>
    </row>
    <row r="3" spans="1:13" x14ac:dyDescent="0.25">
      <c r="B3" s="1"/>
      <c r="C3" s="53" t="s">
        <v>1</v>
      </c>
      <c r="D3" s="2"/>
    </row>
    <row r="4" spans="1:13" ht="55.2" x14ac:dyDescent="0.25">
      <c r="B4" s="1"/>
      <c r="C4" s="74" t="s">
        <v>2</v>
      </c>
      <c r="D4" s="2"/>
    </row>
    <row r="5" spans="1:13" ht="171.15" customHeight="1" x14ac:dyDescent="0.25">
      <c r="B5" s="112" t="s">
        <v>3</v>
      </c>
      <c r="C5" s="113"/>
      <c r="D5" s="113"/>
      <c r="E5" s="113"/>
    </row>
    <row r="7" spans="1:13" ht="42.6" x14ac:dyDescent="0.25">
      <c r="A7" s="44" t="s">
        <v>4</v>
      </c>
      <c r="B7" s="6" t="s">
        <v>5</v>
      </c>
      <c r="C7" s="6" t="s">
        <v>6</v>
      </c>
      <c r="D7" s="54" t="s">
        <v>7</v>
      </c>
      <c r="E7" s="8" t="s">
        <v>8</v>
      </c>
      <c r="F7" s="8" t="s">
        <v>9</v>
      </c>
    </row>
    <row r="8" spans="1:13" ht="31.95" customHeight="1" x14ac:dyDescent="0.25">
      <c r="A8" s="89">
        <v>1</v>
      </c>
      <c r="B8" s="78" t="str">
        <f t="shared" ref="B8:B39" si="0">_xlfn.CONCAT("CK",A8)</f>
        <v>CK1</v>
      </c>
      <c r="C8" s="9" t="s">
        <v>10</v>
      </c>
      <c r="D8" s="82" t="s">
        <v>11</v>
      </c>
      <c r="E8" s="83" t="s">
        <v>12</v>
      </c>
      <c r="F8" s="75" t="s">
        <v>13</v>
      </c>
    </row>
    <row r="9" spans="1:13" ht="22.2" customHeight="1" x14ac:dyDescent="0.25">
      <c r="A9" s="89">
        <v>2</v>
      </c>
      <c r="B9" s="78" t="str">
        <f t="shared" si="0"/>
        <v>CK2</v>
      </c>
      <c r="C9" s="9" t="s">
        <v>14</v>
      </c>
      <c r="D9" s="82" t="s">
        <v>15</v>
      </c>
      <c r="E9" s="81" t="s">
        <v>16</v>
      </c>
      <c r="F9" s="75" t="s">
        <v>13</v>
      </c>
    </row>
    <row r="10" spans="1:13" ht="41.4" x14ac:dyDescent="0.25">
      <c r="A10" s="89">
        <v>3</v>
      </c>
      <c r="B10" s="78" t="str">
        <f t="shared" si="0"/>
        <v>CK3</v>
      </c>
      <c r="C10" s="15" t="s">
        <v>17</v>
      </c>
      <c r="D10" s="52" t="s">
        <v>18</v>
      </c>
      <c r="E10" s="63"/>
      <c r="F10" s="75" t="s">
        <v>13</v>
      </c>
    </row>
    <row r="11" spans="1:13" ht="37.5" customHeight="1" x14ac:dyDescent="0.25">
      <c r="A11" s="89">
        <v>4</v>
      </c>
      <c r="B11" s="78" t="str">
        <f t="shared" si="0"/>
        <v>CK4</v>
      </c>
      <c r="C11" s="59" t="s">
        <v>19</v>
      </c>
      <c r="D11" s="60" t="s">
        <v>20</v>
      </c>
      <c r="E11" s="84" t="s">
        <v>21</v>
      </c>
      <c r="F11" s="75" t="s">
        <v>13</v>
      </c>
    </row>
    <row r="12" spans="1:13" ht="41.4" x14ac:dyDescent="0.25">
      <c r="A12" s="89">
        <v>5</v>
      </c>
      <c r="B12" s="78" t="str">
        <f t="shared" si="0"/>
        <v>CK5</v>
      </c>
      <c r="C12" s="59" t="s">
        <v>22</v>
      </c>
      <c r="D12" s="60" t="s">
        <v>23</v>
      </c>
      <c r="E12" s="83" t="s">
        <v>24</v>
      </c>
      <c r="F12" s="75" t="s">
        <v>13</v>
      </c>
      <c r="M12" s="14"/>
    </row>
    <row r="13" spans="1:13" ht="41.4" x14ac:dyDescent="0.25">
      <c r="A13" s="89">
        <v>6</v>
      </c>
      <c r="B13" s="78" t="str">
        <f t="shared" si="0"/>
        <v>CK6</v>
      </c>
      <c r="C13" s="59" t="s">
        <v>25</v>
      </c>
      <c r="D13" s="60" t="s">
        <v>26</v>
      </c>
      <c r="E13" s="83" t="s">
        <v>24</v>
      </c>
      <c r="F13" s="75" t="s">
        <v>13</v>
      </c>
    </row>
    <row r="14" spans="1:13" ht="41.4" x14ac:dyDescent="0.25">
      <c r="A14" s="89">
        <v>7</v>
      </c>
      <c r="B14" s="78" t="str">
        <f t="shared" si="0"/>
        <v>CK7</v>
      </c>
      <c r="C14" s="15" t="s">
        <v>27</v>
      </c>
      <c r="D14" s="52" t="s">
        <v>28</v>
      </c>
      <c r="E14" s="63"/>
      <c r="F14" s="75" t="s">
        <v>13</v>
      </c>
    </row>
    <row r="15" spans="1:13" ht="41.4" x14ac:dyDescent="0.25">
      <c r="A15" s="89">
        <v>8</v>
      </c>
      <c r="B15" s="78" t="str">
        <f t="shared" si="0"/>
        <v>CK8</v>
      </c>
      <c r="C15" s="15" t="s">
        <v>29</v>
      </c>
      <c r="D15" s="87" t="s">
        <v>30</v>
      </c>
      <c r="E15" s="88" t="s">
        <v>31</v>
      </c>
      <c r="F15" s="77" t="s">
        <v>13</v>
      </c>
    </row>
    <row r="16" spans="1:13" ht="41.4" x14ac:dyDescent="0.25">
      <c r="A16" s="89">
        <v>9</v>
      </c>
      <c r="B16" s="78" t="str">
        <f t="shared" si="0"/>
        <v>CK9</v>
      </c>
      <c r="C16" s="9" t="s">
        <v>32</v>
      </c>
      <c r="D16" s="82" t="s">
        <v>33</v>
      </c>
      <c r="E16" s="81"/>
      <c r="F16" s="77" t="s">
        <v>13</v>
      </c>
    </row>
    <row r="17" spans="1:6" ht="41.4" x14ac:dyDescent="0.25">
      <c r="A17" s="89">
        <v>10</v>
      </c>
      <c r="B17" s="78" t="str">
        <f t="shared" si="0"/>
        <v>CK10</v>
      </c>
      <c r="C17" s="9" t="s">
        <v>34</v>
      </c>
      <c r="D17" s="85" t="s">
        <v>35</v>
      </c>
      <c r="E17" s="83" t="s">
        <v>12</v>
      </c>
      <c r="F17" s="77" t="s">
        <v>13</v>
      </c>
    </row>
    <row r="18" spans="1:6" ht="40.200000000000003" customHeight="1" x14ac:dyDescent="0.25">
      <c r="A18" s="89">
        <v>11</v>
      </c>
      <c r="B18" s="78" t="str">
        <f t="shared" si="0"/>
        <v>CK11</v>
      </c>
      <c r="C18" s="9" t="s">
        <v>36</v>
      </c>
      <c r="D18" s="82" t="s">
        <v>37</v>
      </c>
      <c r="E18" s="83" t="s">
        <v>24</v>
      </c>
      <c r="F18" s="77" t="s">
        <v>13</v>
      </c>
    </row>
    <row r="19" spans="1:6" ht="27.6" x14ac:dyDescent="0.25">
      <c r="A19" s="89">
        <v>12</v>
      </c>
      <c r="B19" s="78" t="str">
        <f t="shared" si="0"/>
        <v>CK12</v>
      </c>
      <c r="C19" s="9" t="s">
        <v>38</v>
      </c>
      <c r="D19" s="82" t="s">
        <v>39</v>
      </c>
      <c r="E19" s="83" t="s">
        <v>24</v>
      </c>
      <c r="F19" s="77" t="s">
        <v>13</v>
      </c>
    </row>
    <row r="20" spans="1:6" ht="41.4" x14ac:dyDescent="0.25">
      <c r="A20" s="89">
        <v>13</v>
      </c>
      <c r="B20" s="78" t="str">
        <f t="shared" si="0"/>
        <v>CK13</v>
      </c>
      <c r="C20" s="9" t="s">
        <v>40</v>
      </c>
      <c r="D20" s="82" t="s">
        <v>41</v>
      </c>
      <c r="E20" s="83" t="s">
        <v>24</v>
      </c>
      <c r="F20" s="77" t="s">
        <v>13</v>
      </c>
    </row>
    <row r="21" spans="1:6" ht="41.4" x14ac:dyDescent="0.25">
      <c r="A21" s="89">
        <v>14</v>
      </c>
      <c r="B21" s="78" t="str">
        <f t="shared" si="0"/>
        <v>CK14</v>
      </c>
      <c r="C21" s="9" t="s">
        <v>42</v>
      </c>
      <c r="D21" s="85" t="s">
        <v>43</v>
      </c>
      <c r="E21" s="83"/>
      <c r="F21" s="77" t="s">
        <v>13</v>
      </c>
    </row>
    <row r="22" spans="1:6" ht="27.6" x14ac:dyDescent="0.25">
      <c r="A22" s="89">
        <v>15</v>
      </c>
      <c r="B22" s="78" t="str">
        <f t="shared" si="0"/>
        <v>CK15</v>
      </c>
      <c r="C22" s="9" t="s">
        <v>44</v>
      </c>
      <c r="D22" s="82" t="s">
        <v>45</v>
      </c>
      <c r="E22" s="83" t="s">
        <v>46</v>
      </c>
      <c r="F22" s="77" t="s">
        <v>13</v>
      </c>
    </row>
    <row r="23" spans="1:6" ht="27.6" x14ac:dyDescent="0.25">
      <c r="A23" s="89">
        <v>16</v>
      </c>
      <c r="B23" s="78" t="str">
        <f t="shared" si="0"/>
        <v>CK16</v>
      </c>
      <c r="C23" s="9" t="s">
        <v>47</v>
      </c>
      <c r="D23" s="85" t="s">
        <v>48</v>
      </c>
      <c r="E23" s="83" t="s">
        <v>31</v>
      </c>
      <c r="F23" s="77" t="s">
        <v>13</v>
      </c>
    </row>
    <row r="24" spans="1:6" ht="44.4" customHeight="1" x14ac:dyDescent="0.25">
      <c r="A24" s="89">
        <v>17</v>
      </c>
      <c r="B24" s="78" t="str">
        <f t="shared" si="0"/>
        <v>CK17</v>
      </c>
      <c r="C24" s="9" t="s">
        <v>49</v>
      </c>
      <c r="D24" s="85" t="s">
        <v>50</v>
      </c>
      <c r="E24" s="83" t="s">
        <v>51</v>
      </c>
      <c r="F24" s="77" t="s">
        <v>13</v>
      </c>
    </row>
    <row r="25" spans="1:6" ht="45" customHeight="1" x14ac:dyDescent="0.25">
      <c r="A25" s="89">
        <v>18</v>
      </c>
      <c r="B25" s="78" t="str">
        <f t="shared" si="0"/>
        <v>CK18</v>
      </c>
      <c r="C25" s="9" t="s">
        <v>52</v>
      </c>
      <c r="D25" s="85" t="s">
        <v>53</v>
      </c>
      <c r="E25" s="83" t="s">
        <v>51</v>
      </c>
      <c r="F25" s="77" t="s">
        <v>13</v>
      </c>
    </row>
    <row r="26" spans="1:6" ht="45.6" customHeight="1" x14ac:dyDescent="0.25">
      <c r="A26" s="89">
        <v>19</v>
      </c>
      <c r="B26" s="78" t="str">
        <f t="shared" si="0"/>
        <v>CK19</v>
      </c>
      <c r="C26" s="9" t="s">
        <v>54</v>
      </c>
      <c r="D26" s="85" t="s">
        <v>55</v>
      </c>
      <c r="E26" s="83" t="s">
        <v>51</v>
      </c>
      <c r="F26" s="77" t="s">
        <v>13</v>
      </c>
    </row>
    <row r="27" spans="1:6" ht="39" customHeight="1" x14ac:dyDescent="0.25">
      <c r="A27" s="89">
        <v>20</v>
      </c>
      <c r="B27" s="78" t="str">
        <f t="shared" si="0"/>
        <v>CK20</v>
      </c>
      <c r="C27" s="9" t="s">
        <v>56</v>
      </c>
      <c r="D27" s="82" t="s">
        <v>57</v>
      </c>
      <c r="E27" s="83" t="s">
        <v>51</v>
      </c>
      <c r="F27" s="77" t="s">
        <v>13</v>
      </c>
    </row>
    <row r="28" spans="1:6" ht="34.950000000000003" customHeight="1" x14ac:dyDescent="0.25">
      <c r="A28" s="89">
        <v>21</v>
      </c>
      <c r="B28" s="78" t="str">
        <f t="shared" si="0"/>
        <v>CK21</v>
      </c>
      <c r="C28" s="9" t="s">
        <v>58</v>
      </c>
      <c r="D28" s="82" t="s">
        <v>59</v>
      </c>
      <c r="E28" s="83" t="s">
        <v>51</v>
      </c>
      <c r="F28" s="77" t="s">
        <v>13</v>
      </c>
    </row>
    <row r="29" spans="1:6" ht="41.25" customHeight="1" x14ac:dyDescent="0.25">
      <c r="A29" s="89">
        <v>22</v>
      </c>
      <c r="B29" s="78" t="str">
        <f t="shared" si="0"/>
        <v>CK22</v>
      </c>
      <c r="C29" s="9" t="s">
        <v>60</v>
      </c>
      <c r="D29" s="85" t="s">
        <v>61</v>
      </c>
      <c r="E29" s="83" t="s">
        <v>31</v>
      </c>
      <c r="F29" s="77" t="s">
        <v>13</v>
      </c>
    </row>
    <row r="30" spans="1:6" ht="41.4" x14ac:dyDescent="0.25">
      <c r="A30" s="89">
        <v>23</v>
      </c>
      <c r="B30" s="78" t="str">
        <f t="shared" si="0"/>
        <v>CK23</v>
      </c>
      <c r="C30" s="9" t="s">
        <v>62</v>
      </c>
      <c r="D30" s="85" t="s">
        <v>63</v>
      </c>
      <c r="E30" s="83" t="s">
        <v>51</v>
      </c>
      <c r="F30" s="77" t="s">
        <v>13</v>
      </c>
    </row>
    <row r="31" spans="1:6" ht="41.4" x14ac:dyDescent="0.25">
      <c r="A31" s="89">
        <v>24</v>
      </c>
      <c r="B31" s="78" t="str">
        <f t="shared" si="0"/>
        <v>CK24</v>
      </c>
      <c r="C31" s="9" t="s">
        <v>64</v>
      </c>
      <c r="D31" s="85" t="s">
        <v>65</v>
      </c>
      <c r="E31" s="83" t="s">
        <v>31</v>
      </c>
      <c r="F31" s="77" t="s">
        <v>13</v>
      </c>
    </row>
    <row r="32" spans="1:6" ht="27.6" x14ac:dyDescent="0.25">
      <c r="A32" s="89">
        <v>25</v>
      </c>
      <c r="B32" s="78" t="str">
        <f t="shared" si="0"/>
        <v>CK25</v>
      </c>
      <c r="C32" s="9" t="s">
        <v>66</v>
      </c>
      <c r="D32" s="82" t="s">
        <v>67</v>
      </c>
      <c r="E32" s="83" t="s">
        <v>51</v>
      </c>
      <c r="F32" s="77" t="s">
        <v>13</v>
      </c>
    </row>
    <row r="33" spans="1:16" ht="39.6" customHeight="1" x14ac:dyDescent="0.25">
      <c r="A33" s="89">
        <v>26</v>
      </c>
      <c r="B33" s="78" t="str">
        <f t="shared" si="0"/>
        <v>CK26</v>
      </c>
      <c r="C33" s="9" t="s">
        <v>68</v>
      </c>
      <c r="D33" s="36" t="s">
        <v>69</v>
      </c>
      <c r="E33" s="83" t="s">
        <v>70</v>
      </c>
      <c r="F33" s="83" t="s">
        <v>71</v>
      </c>
    </row>
    <row r="34" spans="1:16" ht="27.6" x14ac:dyDescent="0.25">
      <c r="A34" s="89">
        <v>27</v>
      </c>
      <c r="B34" s="78" t="str">
        <f t="shared" si="0"/>
        <v>CK27</v>
      </c>
      <c r="C34" s="9" t="s">
        <v>72</v>
      </c>
      <c r="D34" s="82" t="s">
        <v>73</v>
      </c>
      <c r="E34" s="83" t="s">
        <v>74</v>
      </c>
      <c r="F34" s="77" t="s">
        <v>75</v>
      </c>
    </row>
    <row r="35" spans="1:16" ht="27.6" x14ac:dyDescent="0.25">
      <c r="A35" s="89">
        <v>28</v>
      </c>
      <c r="B35" s="78" t="str">
        <f t="shared" si="0"/>
        <v>CK28</v>
      </c>
      <c r="C35" s="9" t="s">
        <v>76</v>
      </c>
      <c r="D35" s="85" t="s">
        <v>77</v>
      </c>
      <c r="E35" s="83" t="s">
        <v>31</v>
      </c>
      <c r="F35" s="77" t="s">
        <v>75</v>
      </c>
    </row>
    <row r="36" spans="1:16" ht="41.4" x14ac:dyDescent="0.25">
      <c r="A36" s="89">
        <v>29</v>
      </c>
      <c r="B36" s="78" t="str">
        <f t="shared" si="0"/>
        <v>CK29</v>
      </c>
      <c r="C36" s="9" t="s">
        <v>78</v>
      </c>
      <c r="D36" s="85" t="s">
        <v>79</v>
      </c>
      <c r="E36" s="83" t="s">
        <v>24</v>
      </c>
      <c r="F36" s="77" t="s">
        <v>75</v>
      </c>
    </row>
    <row r="37" spans="1:16" ht="55.2" x14ac:dyDescent="0.25">
      <c r="A37" s="89">
        <v>30</v>
      </c>
      <c r="B37" s="78" t="str">
        <f t="shared" si="0"/>
        <v>CK30</v>
      </c>
      <c r="C37" s="9" t="s">
        <v>80</v>
      </c>
      <c r="D37" s="85" t="s">
        <v>81</v>
      </c>
      <c r="E37" s="83" t="s">
        <v>24</v>
      </c>
      <c r="F37" s="77" t="s">
        <v>75</v>
      </c>
    </row>
    <row r="38" spans="1:16" ht="39" customHeight="1" x14ac:dyDescent="0.25">
      <c r="A38" s="89">
        <v>31</v>
      </c>
      <c r="B38" s="78" t="str">
        <f t="shared" si="0"/>
        <v>CK31</v>
      </c>
      <c r="C38" s="9" t="s">
        <v>82</v>
      </c>
      <c r="D38" s="82" t="s">
        <v>83</v>
      </c>
      <c r="E38" s="83" t="s">
        <v>84</v>
      </c>
      <c r="F38" s="77" t="s">
        <v>75</v>
      </c>
      <c r="N38" s="97"/>
      <c r="O38" s="98"/>
      <c r="P38" s="62"/>
    </row>
    <row r="39" spans="1:16" ht="41.4" x14ac:dyDescent="0.25">
      <c r="A39" s="89">
        <v>32</v>
      </c>
      <c r="B39" s="78" t="str">
        <f t="shared" si="0"/>
        <v>CK32</v>
      </c>
      <c r="C39" s="9" t="s">
        <v>85</v>
      </c>
      <c r="D39" s="82" t="s">
        <v>86</v>
      </c>
      <c r="E39" s="83" t="s">
        <v>12</v>
      </c>
      <c r="F39" s="77" t="s">
        <v>75</v>
      </c>
    </row>
    <row r="40" spans="1:16" ht="41.4" x14ac:dyDescent="0.25">
      <c r="A40" s="89">
        <v>33</v>
      </c>
      <c r="B40" s="78" t="str">
        <f t="shared" ref="B40:B71" si="1">_xlfn.CONCAT("CK",A40)</f>
        <v>CK33</v>
      </c>
      <c r="C40" s="9" t="s">
        <v>87</v>
      </c>
      <c r="D40" s="82" t="s">
        <v>88</v>
      </c>
      <c r="E40" s="81" t="s">
        <v>21</v>
      </c>
      <c r="F40" s="75" t="s">
        <v>75</v>
      </c>
    </row>
    <row r="41" spans="1:16" ht="27.6" x14ac:dyDescent="0.25">
      <c r="A41" s="89">
        <v>34</v>
      </c>
      <c r="B41" s="78" t="str">
        <f t="shared" si="1"/>
        <v>CK34</v>
      </c>
      <c r="C41" s="9" t="s">
        <v>89</v>
      </c>
      <c r="D41" s="82" t="s">
        <v>90</v>
      </c>
      <c r="E41" s="81"/>
      <c r="F41" s="75" t="s">
        <v>75</v>
      </c>
    </row>
    <row r="42" spans="1:16" ht="27.6" x14ac:dyDescent="0.25">
      <c r="A42" s="89">
        <v>35</v>
      </c>
      <c r="B42" s="78" t="str">
        <f t="shared" si="1"/>
        <v>CK35</v>
      </c>
      <c r="C42" s="9" t="s">
        <v>91</v>
      </c>
      <c r="D42" s="82" t="s">
        <v>92</v>
      </c>
      <c r="E42" s="81" t="s">
        <v>93</v>
      </c>
      <c r="F42" s="75" t="s">
        <v>75</v>
      </c>
    </row>
    <row r="43" spans="1:16" ht="27.6" x14ac:dyDescent="0.25">
      <c r="A43" s="89">
        <v>36</v>
      </c>
      <c r="B43" s="78" t="str">
        <f t="shared" si="1"/>
        <v>CK36</v>
      </c>
      <c r="C43" s="9" t="s">
        <v>94</v>
      </c>
      <c r="D43" s="82" t="s">
        <v>95</v>
      </c>
      <c r="E43" s="81"/>
      <c r="F43" s="75" t="s">
        <v>75</v>
      </c>
    </row>
    <row r="44" spans="1:16" ht="41.4" x14ac:dyDescent="0.25">
      <c r="A44" s="89">
        <v>37</v>
      </c>
      <c r="B44" s="78" t="str">
        <f t="shared" si="1"/>
        <v>CK37</v>
      </c>
      <c r="C44" s="9" t="s">
        <v>96</v>
      </c>
      <c r="D44" s="82" t="s">
        <v>97</v>
      </c>
      <c r="E44" s="81"/>
      <c r="F44" s="75" t="s">
        <v>75</v>
      </c>
    </row>
    <row r="45" spans="1:16" ht="41.4" x14ac:dyDescent="0.25">
      <c r="A45" s="89">
        <v>38</v>
      </c>
      <c r="B45" s="78" t="str">
        <f t="shared" si="1"/>
        <v>CK38</v>
      </c>
      <c r="C45" s="9" t="s">
        <v>98</v>
      </c>
      <c r="D45" s="82" t="s">
        <v>99</v>
      </c>
      <c r="E45" s="81" t="s">
        <v>100</v>
      </c>
      <c r="F45" s="75" t="s">
        <v>75</v>
      </c>
    </row>
    <row r="46" spans="1:16" ht="41.4" x14ac:dyDescent="0.25">
      <c r="A46" s="89">
        <v>39</v>
      </c>
      <c r="B46" s="78" t="str">
        <f t="shared" si="1"/>
        <v>CK39</v>
      </c>
      <c r="C46" s="9" t="s">
        <v>101</v>
      </c>
      <c r="D46" s="82" t="s">
        <v>102</v>
      </c>
      <c r="E46" s="81"/>
      <c r="F46" s="75" t="s">
        <v>75</v>
      </c>
    </row>
    <row r="47" spans="1:16" ht="27.6" x14ac:dyDescent="0.25">
      <c r="A47" s="89">
        <v>40</v>
      </c>
      <c r="B47" s="78" t="str">
        <f t="shared" si="1"/>
        <v>CK40</v>
      </c>
      <c r="C47" s="9" t="s">
        <v>103</v>
      </c>
      <c r="D47" s="82" t="s">
        <v>104</v>
      </c>
      <c r="E47" s="81" t="s">
        <v>100</v>
      </c>
      <c r="F47" s="75" t="s">
        <v>75</v>
      </c>
    </row>
    <row r="48" spans="1:16" ht="27.6" x14ac:dyDescent="0.25">
      <c r="A48" s="89">
        <v>41</v>
      </c>
      <c r="B48" s="78" t="str">
        <f t="shared" si="1"/>
        <v>CK41</v>
      </c>
      <c r="C48" s="15" t="s">
        <v>105</v>
      </c>
      <c r="D48" s="52" t="s">
        <v>106</v>
      </c>
      <c r="E48" s="63" t="s">
        <v>107</v>
      </c>
      <c r="F48" s="75" t="s">
        <v>75</v>
      </c>
    </row>
    <row r="49" spans="1:6" ht="41.4" x14ac:dyDescent="0.25">
      <c r="A49" s="89">
        <v>42</v>
      </c>
      <c r="B49" s="78" t="str">
        <f t="shared" si="1"/>
        <v>CK42</v>
      </c>
      <c r="C49" s="15" t="s">
        <v>108</v>
      </c>
      <c r="D49" s="16" t="s">
        <v>109</v>
      </c>
      <c r="E49" s="63" t="s">
        <v>74</v>
      </c>
      <c r="F49" s="75" t="s">
        <v>75</v>
      </c>
    </row>
    <row r="50" spans="1:6" ht="27.6" x14ac:dyDescent="0.25">
      <c r="A50" s="89">
        <v>43</v>
      </c>
      <c r="B50" s="78" t="str">
        <f t="shared" si="1"/>
        <v>CK43</v>
      </c>
      <c r="C50" s="59" t="s">
        <v>110</v>
      </c>
      <c r="D50" s="60" t="s">
        <v>111</v>
      </c>
      <c r="E50" s="61"/>
      <c r="F50" s="75" t="s">
        <v>75</v>
      </c>
    </row>
    <row r="51" spans="1:6" ht="41.4" x14ac:dyDescent="0.25">
      <c r="A51" s="89">
        <v>44</v>
      </c>
      <c r="B51" s="78" t="str">
        <f t="shared" si="1"/>
        <v>CK44</v>
      </c>
      <c r="C51" s="59" t="s">
        <v>112</v>
      </c>
      <c r="D51" s="60" t="s">
        <v>113</v>
      </c>
      <c r="E51" s="76" t="s">
        <v>100</v>
      </c>
      <c r="F51" s="75" t="s">
        <v>75</v>
      </c>
    </row>
    <row r="52" spans="1:6" ht="27.6" x14ac:dyDescent="0.25">
      <c r="A52" s="89">
        <v>45</v>
      </c>
      <c r="B52" s="78" t="str">
        <f t="shared" si="1"/>
        <v>CK45</v>
      </c>
      <c r="C52" s="59" t="s">
        <v>114</v>
      </c>
      <c r="D52" s="60" t="s">
        <v>115</v>
      </c>
      <c r="E52" s="76" t="s">
        <v>100</v>
      </c>
      <c r="F52" s="77" t="s">
        <v>75</v>
      </c>
    </row>
    <row r="53" spans="1:6" ht="27.6" x14ac:dyDescent="0.25">
      <c r="A53" s="89">
        <v>46</v>
      </c>
      <c r="B53" s="78" t="str">
        <f t="shared" si="1"/>
        <v>CK46</v>
      </c>
      <c r="C53" s="59" t="s">
        <v>116</v>
      </c>
      <c r="D53" s="60" t="s">
        <v>117</v>
      </c>
      <c r="E53" s="76" t="s">
        <v>100</v>
      </c>
      <c r="F53" s="77" t="s">
        <v>75</v>
      </c>
    </row>
    <row r="54" spans="1:6" ht="27.6" x14ac:dyDescent="0.25">
      <c r="A54" s="89">
        <v>47</v>
      </c>
      <c r="B54" s="78" t="str">
        <f t="shared" si="1"/>
        <v>CK47</v>
      </c>
      <c r="C54" s="59" t="s">
        <v>118</v>
      </c>
      <c r="D54" s="60" t="s">
        <v>119</v>
      </c>
      <c r="E54" s="61"/>
      <c r="F54" s="77" t="s">
        <v>75</v>
      </c>
    </row>
    <row r="55" spans="1:6" ht="41.4" x14ac:dyDescent="0.25">
      <c r="A55" s="89">
        <v>48</v>
      </c>
      <c r="B55" s="78" t="str">
        <f t="shared" si="1"/>
        <v>CK48</v>
      </c>
      <c r="C55" s="59" t="s">
        <v>120</v>
      </c>
      <c r="D55" s="60" t="s">
        <v>121</v>
      </c>
      <c r="E55" s="61"/>
      <c r="F55" s="77" t="s">
        <v>75</v>
      </c>
    </row>
    <row r="56" spans="1:6" ht="27.6" x14ac:dyDescent="0.25">
      <c r="A56" s="89">
        <v>49</v>
      </c>
      <c r="B56" s="78" t="str">
        <f t="shared" si="1"/>
        <v>CK49</v>
      </c>
      <c r="C56" s="59" t="s">
        <v>122</v>
      </c>
      <c r="D56" s="60" t="s">
        <v>123</v>
      </c>
      <c r="E56" s="61"/>
      <c r="F56" s="77" t="s">
        <v>75</v>
      </c>
    </row>
    <row r="57" spans="1:6" ht="41.4" x14ac:dyDescent="0.25">
      <c r="A57" s="89">
        <v>50</v>
      </c>
      <c r="B57" s="78" t="str">
        <f t="shared" si="1"/>
        <v>CK50</v>
      </c>
      <c r="C57" s="59" t="s">
        <v>124</v>
      </c>
      <c r="D57" s="60" t="s">
        <v>125</v>
      </c>
      <c r="E57" s="61"/>
      <c r="F57" s="77" t="s">
        <v>75</v>
      </c>
    </row>
    <row r="58" spans="1:6" ht="27.6" x14ac:dyDescent="0.25">
      <c r="A58" s="89">
        <v>51</v>
      </c>
      <c r="B58" s="78" t="str">
        <f t="shared" si="1"/>
        <v>CK51</v>
      </c>
      <c r="C58" s="59" t="s">
        <v>126</v>
      </c>
      <c r="D58" s="60" t="s">
        <v>127</v>
      </c>
      <c r="E58" s="61"/>
      <c r="F58" s="77" t="s">
        <v>75</v>
      </c>
    </row>
    <row r="59" spans="1:6" ht="35.25" customHeight="1" x14ac:dyDescent="0.25">
      <c r="A59" s="89">
        <v>52</v>
      </c>
      <c r="B59" s="78" t="str">
        <f t="shared" si="1"/>
        <v>CK52</v>
      </c>
      <c r="C59" s="59" t="s">
        <v>128</v>
      </c>
      <c r="D59" s="60" t="s">
        <v>129</v>
      </c>
      <c r="E59" s="61"/>
      <c r="F59" s="75" t="s">
        <v>75</v>
      </c>
    </row>
    <row r="60" spans="1:6" ht="41.25" customHeight="1" x14ac:dyDescent="0.25">
      <c r="A60" s="89">
        <v>53</v>
      </c>
      <c r="B60" s="78" t="str">
        <f t="shared" si="1"/>
        <v>CK53</v>
      </c>
      <c r="C60" s="59" t="s">
        <v>130</v>
      </c>
      <c r="D60" s="60" t="s">
        <v>131</v>
      </c>
      <c r="E60" s="61"/>
      <c r="F60" s="75" t="s">
        <v>75</v>
      </c>
    </row>
    <row r="61" spans="1:6" ht="27.6" x14ac:dyDescent="0.25">
      <c r="A61" s="89">
        <v>54</v>
      </c>
      <c r="B61" s="78" t="str">
        <f t="shared" si="1"/>
        <v>CK54</v>
      </c>
      <c r="C61" s="59" t="s">
        <v>132</v>
      </c>
      <c r="D61" s="60" t="s">
        <v>133</v>
      </c>
      <c r="E61" s="61"/>
      <c r="F61" s="75" t="s">
        <v>75</v>
      </c>
    </row>
    <row r="62" spans="1:6" ht="38.4" customHeight="1" x14ac:dyDescent="0.25">
      <c r="A62" s="89">
        <v>55</v>
      </c>
      <c r="B62" s="78" t="str">
        <f t="shared" si="1"/>
        <v>CK55</v>
      </c>
      <c r="C62" s="59" t="s">
        <v>134</v>
      </c>
      <c r="D62" s="60" t="s">
        <v>135</v>
      </c>
      <c r="E62" s="61"/>
      <c r="F62" s="75" t="s">
        <v>75</v>
      </c>
    </row>
    <row r="63" spans="1:6" ht="41.4" x14ac:dyDescent="0.25">
      <c r="A63" s="89">
        <v>56</v>
      </c>
      <c r="B63" s="78" t="str">
        <f t="shared" si="1"/>
        <v>CK56</v>
      </c>
      <c r="C63" s="59" t="s">
        <v>136</v>
      </c>
      <c r="D63" s="73" t="s">
        <v>137</v>
      </c>
      <c r="E63" s="61"/>
      <c r="F63" s="75" t="s">
        <v>75</v>
      </c>
    </row>
    <row r="64" spans="1:6" ht="27.6" x14ac:dyDescent="0.25">
      <c r="A64" s="89">
        <v>57</v>
      </c>
      <c r="B64" s="78" t="str">
        <f t="shared" si="1"/>
        <v>CK57</v>
      </c>
      <c r="C64" s="9" t="s">
        <v>138</v>
      </c>
      <c r="D64" s="35" t="s">
        <v>139</v>
      </c>
      <c r="E64" s="64"/>
      <c r="F64" s="77" t="s">
        <v>75</v>
      </c>
    </row>
    <row r="65" spans="1:6" ht="27.6" x14ac:dyDescent="0.25">
      <c r="A65" s="89">
        <v>58</v>
      </c>
      <c r="B65" s="78" t="str">
        <f t="shared" si="1"/>
        <v>CK58</v>
      </c>
      <c r="C65" s="79" t="s">
        <v>140</v>
      </c>
      <c r="D65" s="80" t="s">
        <v>141</v>
      </c>
      <c r="E65" s="64"/>
      <c r="F65" s="77" t="s">
        <v>75</v>
      </c>
    </row>
    <row r="66" spans="1:6" ht="41.4" x14ac:dyDescent="0.25">
      <c r="A66" s="89">
        <v>59</v>
      </c>
      <c r="B66" s="78" t="str">
        <f t="shared" si="1"/>
        <v>CK59</v>
      </c>
      <c r="C66" s="79" t="s">
        <v>142</v>
      </c>
      <c r="D66" s="80" t="s">
        <v>143</v>
      </c>
      <c r="E66" s="64"/>
      <c r="F66" s="77" t="s">
        <v>75</v>
      </c>
    </row>
    <row r="67" spans="1:6" ht="41.4" x14ac:dyDescent="0.25">
      <c r="A67" s="89">
        <v>60</v>
      </c>
      <c r="B67" s="78" t="str">
        <f t="shared" si="1"/>
        <v>CK60</v>
      </c>
      <c r="C67" s="79" t="s">
        <v>144</v>
      </c>
      <c r="D67" s="80" t="s">
        <v>145</v>
      </c>
      <c r="E67" s="81"/>
      <c r="F67" s="77" t="s">
        <v>75</v>
      </c>
    </row>
    <row r="68" spans="1:6" ht="41.4" x14ac:dyDescent="0.25">
      <c r="A68" s="89">
        <v>61</v>
      </c>
      <c r="B68" s="78" t="str">
        <f t="shared" si="1"/>
        <v>CK61</v>
      </c>
      <c r="C68" s="79" t="s">
        <v>146</v>
      </c>
      <c r="D68" s="80" t="s">
        <v>147</v>
      </c>
      <c r="E68" s="83" t="s">
        <v>74</v>
      </c>
      <c r="F68" s="77" t="s">
        <v>75</v>
      </c>
    </row>
    <row r="69" spans="1:6" ht="27.6" x14ac:dyDescent="0.25">
      <c r="A69" s="89">
        <v>62</v>
      </c>
      <c r="B69" s="78" t="str">
        <f t="shared" si="1"/>
        <v>CK62</v>
      </c>
      <c r="C69" s="79" t="s">
        <v>148</v>
      </c>
      <c r="D69" s="80" t="s">
        <v>149</v>
      </c>
      <c r="E69" s="83" t="s">
        <v>74</v>
      </c>
      <c r="F69" s="77" t="s">
        <v>75</v>
      </c>
    </row>
    <row r="70" spans="1:6" ht="55.2" x14ac:dyDescent="0.25">
      <c r="A70" s="89">
        <v>63</v>
      </c>
      <c r="B70" s="78" t="str">
        <f t="shared" si="1"/>
        <v>CK63</v>
      </c>
      <c r="C70" s="79" t="s">
        <v>150</v>
      </c>
      <c r="D70" s="86" t="s">
        <v>151</v>
      </c>
      <c r="E70" s="83" t="s">
        <v>74</v>
      </c>
      <c r="F70" s="77" t="s">
        <v>75</v>
      </c>
    </row>
    <row r="71" spans="1:6" ht="46.2" customHeight="1" x14ac:dyDescent="0.25">
      <c r="A71" s="89">
        <v>64</v>
      </c>
      <c r="B71" s="78" t="str">
        <f t="shared" si="1"/>
        <v>CK64</v>
      </c>
      <c r="C71" s="79" t="s">
        <v>152</v>
      </c>
      <c r="D71" s="80" t="s">
        <v>153</v>
      </c>
      <c r="E71" s="83" t="s">
        <v>74</v>
      </c>
      <c r="F71" s="77" t="s">
        <v>75</v>
      </c>
    </row>
    <row r="72" spans="1:6" ht="34.950000000000003" customHeight="1" x14ac:dyDescent="0.25">
      <c r="A72" s="89">
        <v>65</v>
      </c>
      <c r="B72" s="78" t="str">
        <f t="shared" ref="B72:B87" si="2">_xlfn.CONCAT("CK",A72)</f>
        <v>CK65</v>
      </c>
      <c r="C72" s="79" t="s">
        <v>154</v>
      </c>
      <c r="D72" s="79" t="s">
        <v>155</v>
      </c>
      <c r="E72" s="83" t="s">
        <v>21</v>
      </c>
      <c r="F72" s="77" t="s">
        <v>75</v>
      </c>
    </row>
    <row r="73" spans="1:6" ht="52.2" customHeight="1" x14ac:dyDescent="0.25">
      <c r="A73" s="89">
        <v>66</v>
      </c>
      <c r="B73" s="78" t="str">
        <f t="shared" si="2"/>
        <v>CK66</v>
      </c>
      <c r="C73" s="79" t="s">
        <v>156</v>
      </c>
      <c r="D73" s="86" t="s">
        <v>157</v>
      </c>
      <c r="E73" s="83" t="s">
        <v>21</v>
      </c>
      <c r="F73" s="77" t="s">
        <v>75</v>
      </c>
    </row>
    <row r="74" spans="1:6" ht="34.950000000000003" customHeight="1" x14ac:dyDescent="0.25">
      <c r="A74" s="89">
        <v>67</v>
      </c>
      <c r="B74" s="78" t="str">
        <f t="shared" si="2"/>
        <v>CK67</v>
      </c>
      <c r="C74" s="79" t="s">
        <v>158</v>
      </c>
      <c r="D74" s="86" t="s">
        <v>159</v>
      </c>
      <c r="E74" s="83" t="s">
        <v>74</v>
      </c>
      <c r="F74" s="77" t="s">
        <v>75</v>
      </c>
    </row>
    <row r="75" spans="1:6" ht="34.950000000000003" customHeight="1" x14ac:dyDescent="0.25">
      <c r="A75" s="89">
        <v>68</v>
      </c>
      <c r="B75" s="78" t="str">
        <f t="shared" si="2"/>
        <v>CK68</v>
      </c>
      <c r="C75" s="79" t="s">
        <v>160</v>
      </c>
      <c r="D75" s="86"/>
      <c r="E75" s="83" t="s">
        <v>107</v>
      </c>
      <c r="F75" s="77" t="s">
        <v>75</v>
      </c>
    </row>
    <row r="76" spans="1:6" ht="54.6" customHeight="1" x14ac:dyDescent="0.25">
      <c r="A76" s="89">
        <v>69</v>
      </c>
      <c r="B76" s="78" t="str">
        <f t="shared" si="2"/>
        <v>CK69</v>
      </c>
      <c r="C76" s="79" t="s">
        <v>161</v>
      </c>
      <c r="D76" s="86" t="s">
        <v>162</v>
      </c>
      <c r="E76" s="83"/>
      <c r="F76" s="77" t="s">
        <v>75</v>
      </c>
    </row>
    <row r="77" spans="1:6" ht="54.6" customHeight="1" x14ac:dyDescent="0.25">
      <c r="A77" s="89">
        <v>70</v>
      </c>
      <c r="B77" s="78" t="str">
        <f t="shared" si="2"/>
        <v>CK70</v>
      </c>
      <c r="C77" s="79" t="s">
        <v>163</v>
      </c>
      <c r="D77" s="80" t="s">
        <v>164</v>
      </c>
      <c r="E77" s="83" t="s">
        <v>107</v>
      </c>
      <c r="F77" s="77" t="s">
        <v>75</v>
      </c>
    </row>
    <row r="78" spans="1:6" ht="54.6" customHeight="1" x14ac:dyDescent="0.25">
      <c r="A78" s="89">
        <v>71</v>
      </c>
      <c r="B78" s="78" t="str">
        <f t="shared" si="2"/>
        <v>CK71</v>
      </c>
      <c r="C78" s="79" t="s">
        <v>165</v>
      </c>
      <c r="D78" s="86" t="s">
        <v>166</v>
      </c>
      <c r="E78" s="83" t="s">
        <v>31</v>
      </c>
      <c r="F78" s="77" t="s">
        <v>75</v>
      </c>
    </row>
    <row r="79" spans="1:6" ht="54.6" customHeight="1" x14ac:dyDescent="0.25">
      <c r="A79" s="89">
        <v>72</v>
      </c>
      <c r="B79" s="78" t="str">
        <f t="shared" si="2"/>
        <v>CK72</v>
      </c>
      <c r="C79" s="79" t="s">
        <v>167</v>
      </c>
      <c r="D79" s="86" t="s">
        <v>168</v>
      </c>
      <c r="E79" s="83" t="s">
        <v>31</v>
      </c>
      <c r="F79" s="77" t="s">
        <v>75</v>
      </c>
    </row>
    <row r="80" spans="1:6" ht="54.6" customHeight="1" x14ac:dyDescent="0.25">
      <c r="A80" s="89">
        <v>73</v>
      </c>
      <c r="B80" s="78" t="str">
        <f t="shared" si="2"/>
        <v>CK73</v>
      </c>
      <c r="C80" s="79" t="s">
        <v>169</v>
      </c>
      <c r="D80" s="86" t="s">
        <v>170</v>
      </c>
      <c r="E80" s="83" t="s">
        <v>31</v>
      </c>
      <c r="F80" s="77" t="s">
        <v>75</v>
      </c>
    </row>
    <row r="81" spans="1:6" ht="54.6" customHeight="1" x14ac:dyDescent="0.25">
      <c r="A81" s="89">
        <v>74</v>
      </c>
      <c r="B81" s="78" t="str">
        <f t="shared" si="2"/>
        <v>CK74</v>
      </c>
      <c r="C81" s="79" t="s">
        <v>171</v>
      </c>
      <c r="D81" s="80" t="s">
        <v>172</v>
      </c>
      <c r="E81" s="83" t="s">
        <v>107</v>
      </c>
      <c r="F81" s="77" t="s">
        <v>75</v>
      </c>
    </row>
    <row r="82" spans="1:6" ht="54.6" customHeight="1" x14ac:dyDescent="0.25">
      <c r="A82" s="89">
        <v>75</v>
      </c>
      <c r="B82" s="78" t="str">
        <f t="shared" si="2"/>
        <v>CK75</v>
      </c>
      <c r="C82" s="79" t="s">
        <v>173</v>
      </c>
      <c r="D82" s="80" t="s">
        <v>174</v>
      </c>
      <c r="E82" s="83" t="s">
        <v>24</v>
      </c>
      <c r="F82" s="77" t="s">
        <v>75</v>
      </c>
    </row>
    <row r="83" spans="1:6" ht="54.6" customHeight="1" x14ac:dyDescent="0.25">
      <c r="A83" s="89">
        <v>76</v>
      </c>
      <c r="B83" s="78" t="str">
        <f t="shared" si="2"/>
        <v>CK76</v>
      </c>
      <c r="C83" s="79" t="s">
        <v>175</v>
      </c>
      <c r="D83" s="86" t="s">
        <v>176</v>
      </c>
      <c r="E83" s="83"/>
      <c r="F83" s="77" t="s">
        <v>75</v>
      </c>
    </row>
    <row r="84" spans="1:6" ht="54.6" customHeight="1" x14ac:dyDescent="0.25">
      <c r="A84" s="89">
        <v>77</v>
      </c>
      <c r="B84" s="78" t="str">
        <f t="shared" si="2"/>
        <v>CK77</v>
      </c>
      <c r="C84" s="79" t="s">
        <v>177</v>
      </c>
      <c r="D84" s="86" t="s">
        <v>178</v>
      </c>
      <c r="E84" s="83"/>
      <c r="F84" s="77" t="s">
        <v>13</v>
      </c>
    </row>
    <row r="85" spans="1:6" ht="54.6" customHeight="1" x14ac:dyDescent="0.25">
      <c r="A85" s="89">
        <v>78</v>
      </c>
      <c r="B85" s="78" t="str">
        <f t="shared" si="2"/>
        <v>CK78</v>
      </c>
      <c r="C85" s="79" t="s">
        <v>179</v>
      </c>
      <c r="D85" s="80" t="s">
        <v>180</v>
      </c>
      <c r="E85" s="64" t="s">
        <v>181</v>
      </c>
      <c r="F85" s="77"/>
    </row>
    <row r="86" spans="1:6" ht="54.6" customHeight="1" x14ac:dyDescent="0.25">
      <c r="A86" s="89">
        <v>79</v>
      </c>
      <c r="B86" s="78" t="str">
        <f t="shared" si="2"/>
        <v>CK79</v>
      </c>
      <c r="C86" s="79" t="s">
        <v>182</v>
      </c>
      <c r="D86" s="80" t="s">
        <v>183</v>
      </c>
      <c r="E86" s="64" t="s">
        <v>181</v>
      </c>
      <c r="F86" s="77"/>
    </row>
    <row r="87" spans="1:6" ht="54.6" customHeight="1" x14ac:dyDescent="0.25">
      <c r="A87" s="89">
        <v>80</v>
      </c>
      <c r="B87" s="78" t="str">
        <f t="shared" si="2"/>
        <v>CK80</v>
      </c>
      <c r="C87" s="79" t="s">
        <v>184</v>
      </c>
      <c r="D87" s="80" t="s">
        <v>185</v>
      </c>
      <c r="E87" s="64" t="s">
        <v>181</v>
      </c>
      <c r="F87" s="77"/>
    </row>
    <row r="88" spans="1:6" ht="41.4" x14ac:dyDescent="0.25">
      <c r="A88" s="89">
        <v>81</v>
      </c>
      <c r="B88" s="78" t="str">
        <f t="shared" ref="B88:B91" si="3">_xlfn.CONCAT("CK",A88)</f>
        <v>CK81</v>
      </c>
      <c r="C88" s="79" t="s">
        <v>186</v>
      </c>
      <c r="D88" s="79" t="s">
        <v>187</v>
      </c>
      <c r="E88" s="64" t="s">
        <v>181</v>
      </c>
      <c r="F88" s="77"/>
    </row>
    <row r="89" spans="1:6" ht="27.6" x14ac:dyDescent="0.25">
      <c r="A89" s="89">
        <v>82</v>
      </c>
      <c r="B89" s="90" t="str">
        <f t="shared" si="3"/>
        <v>CK82</v>
      </c>
      <c r="C89" s="91" t="s">
        <v>188</v>
      </c>
      <c r="D89" s="92" t="s">
        <v>189</v>
      </c>
      <c r="E89" s="93" t="s">
        <v>181</v>
      </c>
      <c r="F89" s="94"/>
    </row>
    <row r="90" spans="1:6" ht="41.4" x14ac:dyDescent="0.25">
      <c r="A90" s="89">
        <v>83</v>
      </c>
      <c r="B90" s="95" t="str">
        <f t="shared" si="3"/>
        <v>CK83</v>
      </c>
      <c r="C90" s="96" t="s">
        <v>190</v>
      </c>
      <c r="D90" s="36" t="s">
        <v>191</v>
      </c>
      <c r="E90" s="41" t="s">
        <v>181</v>
      </c>
      <c r="F90" s="99" t="s">
        <v>13</v>
      </c>
    </row>
    <row r="91" spans="1:6" ht="27.6" x14ac:dyDescent="0.25">
      <c r="A91" s="89">
        <v>84</v>
      </c>
      <c r="B91" s="101" t="str">
        <f t="shared" si="3"/>
        <v>CK84</v>
      </c>
      <c r="C91" s="102" t="s">
        <v>192</v>
      </c>
      <c r="D91" s="103" t="s">
        <v>193</v>
      </c>
      <c r="E91" s="104" t="s">
        <v>194</v>
      </c>
      <c r="F91" s="94" t="s">
        <v>13</v>
      </c>
    </row>
    <row r="92" spans="1:6" x14ac:dyDescent="0.25">
      <c r="A92" s="31"/>
      <c r="B92" s="100" t="s">
        <v>195</v>
      </c>
      <c r="C92" s="100"/>
      <c r="D92" s="100"/>
      <c r="E92" s="37"/>
      <c r="F92" s="31"/>
    </row>
    <row r="93" spans="1:6" x14ac:dyDescent="0.25">
      <c r="B93" s="5"/>
      <c r="C93" s="5"/>
      <c r="D93" s="5"/>
    </row>
    <row r="94" spans="1:6" x14ac:dyDescent="0.25">
      <c r="B94" s="5"/>
      <c r="C94" s="5"/>
      <c r="D94" s="5"/>
    </row>
    <row r="95" spans="1:6" x14ac:dyDescent="0.25">
      <c r="B95" s="5"/>
      <c r="C95" s="5"/>
      <c r="D95" s="5"/>
    </row>
    <row r="96" spans="1:6" x14ac:dyDescent="0.25">
      <c r="B96" s="5"/>
      <c r="C96" s="5"/>
      <c r="D96" s="5"/>
    </row>
    <row r="97" spans="2:4" x14ac:dyDescent="0.25">
      <c r="B97" s="5"/>
      <c r="C97" s="5"/>
      <c r="D97" s="5"/>
    </row>
    <row r="98" spans="2:4" x14ac:dyDescent="0.25">
      <c r="B98" s="5"/>
      <c r="C98" s="5"/>
      <c r="D98" s="5"/>
    </row>
    <row r="99" spans="2:4" x14ac:dyDescent="0.25">
      <c r="B99" s="5"/>
      <c r="C99" s="5"/>
      <c r="D99" s="5"/>
    </row>
    <row r="100" spans="2:4" x14ac:dyDescent="0.25">
      <c r="B100" s="5"/>
      <c r="C100" s="5"/>
      <c r="D100" s="5"/>
    </row>
    <row r="101" spans="2:4" x14ac:dyDescent="0.25">
      <c r="B101" s="5"/>
      <c r="C101" s="5"/>
      <c r="D101" s="5"/>
    </row>
    <row r="102" spans="2:4" x14ac:dyDescent="0.25">
      <c r="B102" s="5"/>
      <c r="C102" s="5"/>
      <c r="D102" s="5"/>
    </row>
    <row r="103" spans="2:4" x14ac:dyDescent="0.25">
      <c r="B103" s="5"/>
      <c r="C103" s="5"/>
      <c r="D103" s="5"/>
    </row>
    <row r="104" spans="2:4" x14ac:dyDescent="0.25">
      <c r="B104" s="5"/>
      <c r="C104" s="5"/>
      <c r="D104" s="5"/>
    </row>
    <row r="105" spans="2:4" x14ac:dyDescent="0.25">
      <c r="B105" s="5"/>
      <c r="C105" s="5"/>
      <c r="D105" s="5"/>
    </row>
    <row r="106" spans="2:4" x14ac:dyDescent="0.25">
      <c r="B106" s="5"/>
      <c r="C106" s="5"/>
      <c r="D106" s="5"/>
    </row>
    <row r="107" spans="2:4" x14ac:dyDescent="0.25">
      <c r="B107" s="5"/>
      <c r="C107" s="5"/>
      <c r="D107" s="5"/>
    </row>
    <row r="108" spans="2:4" x14ac:dyDescent="0.25">
      <c r="B108" s="5"/>
      <c r="C108" s="5"/>
      <c r="D108" s="5"/>
    </row>
    <row r="109" spans="2:4" x14ac:dyDescent="0.25">
      <c r="B109" s="5"/>
      <c r="C109" s="5"/>
      <c r="D109" s="5"/>
    </row>
    <row r="110" spans="2:4" x14ac:dyDescent="0.25">
      <c r="B110" s="5"/>
      <c r="C110" s="5"/>
      <c r="D110" s="5"/>
    </row>
    <row r="111" spans="2:4" x14ac:dyDescent="0.25">
      <c r="B111" s="5"/>
      <c r="C111" s="5"/>
      <c r="D111" s="5"/>
    </row>
    <row r="112" spans="2:4" x14ac:dyDescent="0.25">
      <c r="B112" s="5"/>
      <c r="C112" s="5"/>
      <c r="D112" s="5"/>
    </row>
    <row r="113" spans="2:4" x14ac:dyDescent="0.25">
      <c r="B113" s="5"/>
      <c r="C113" s="5"/>
      <c r="D113" s="5"/>
    </row>
    <row r="114" spans="2:4" x14ac:dyDescent="0.25">
      <c r="B114" s="5"/>
      <c r="C114" s="5"/>
      <c r="D114" s="5"/>
    </row>
    <row r="115" spans="2:4" x14ac:dyDescent="0.25">
      <c r="B115" s="5"/>
      <c r="C115" s="5"/>
      <c r="D115" s="5"/>
    </row>
    <row r="116" spans="2:4" x14ac:dyDescent="0.25">
      <c r="B116" s="5"/>
      <c r="C116" s="5"/>
      <c r="D116" s="5"/>
    </row>
    <row r="117" spans="2:4" x14ac:dyDescent="0.25">
      <c r="B117" s="5"/>
      <c r="C117" s="5"/>
      <c r="D117" s="5"/>
    </row>
    <row r="118" spans="2:4" x14ac:dyDescent="0.25">
      <c r="B118" s="5"/>
      <c r="C118" s="5"/>
      <c r="D118" s="5"/>
    </row>
    <row r="119" spans="2:4" x14ac:dyDescent="0.25">
      <c r="B119" s="5"/>
      <c r="C119" s="5"/>
      <c r="D119" s="5"/>
    </row>
    <row r="120" spans="2:4" x14ac:dyDescent="0.25">
      <c r="B120" s="5"/>
      <c r="C120" s="5"/>
      <c r="D120" s="5"/>
    </row>
    <row r="121" spans="2:4" x14ac:dyDescent="0.25">
      <c r="B121" s="5"/>
      <c r="C121" s="5"/>
      <c r="D121" s="5"/>
    </row>
    <row r="122" spans="2:4" x14ac:dyDescent="0.25">
      <c r="B122" s="5"/>
      <c r="C122" s="5"/>
      <c r="D122" s="5"/>
    </row>
    <row r="123" spans="2:4" x14ac:dyDescent="0.25">
      <c r="B123" s="5"/>
      <c r="C123" s="5"/>
      <c r="D123" s="5"/>
    </row>
    <row r="124" spans="2:4" x14ac:dyDescent="0.25">
      <c r="B124" s="5"/>
      <c r="C124" s="5"/>
      <c r="D124" s="5"/>
    </row>
    <row r="125" spans="2:4" x14ac:dyDescent="0.25">
      <c r="B125" s="5"/>
      <c r="C125" s="5"/>
      <c r="D125" s="5"/>
    </row>
    <row r="126" spans="2:4" x14ac:dyDescent="0.25">
      <c r="B126" s="5"/>
      <c r="C126" s="5"/>
      <c r="D126" s="5"/>
    </row>
    <row r="127" spans="2:4" x14ac:dyDescent="0.25">
      <c r="B127" s="5"/>
      <c r="C127" s="5"/>
      <c r="D127" s="5"/>
    </row>
    <row r="128" spans="2:4" x14ac:dyDescent="0.25">
      <c r="B128" s="5"/>
      <c r="C128" s="5"/>
      <c r="D128" s="5"/>
    </row>
    <row r="129" spans="2:4" x14ac:dyDescent="0.25">
      <c r="B129" s="5"/>
      <c r="C129" s="5"/>
      <c r="D129" s="5"/>
    </row>
    <row r="130" spans="2:4" x14ac:dyDescent="0.25">
      <c r="B130" s="5"/>
      <c r="C130" s="5"/>
      <c r="D130" s="5"/>
    </row>
    <row r="131" spans="2:4" x14ac:dyDescent="0.25">
      <c r="B131" s="5"/>
      <c r="C131" s="5"/>
      <c r="D131" s="5"/>
    </row>
    <row r="132" spans="2:4" x14ac:dyDescent="0.25">
      <c r="B132" s="5"/>
      <c r="C132" s="5"/>
      <c r="D132" s="5"/>
    </row>
    <row r="133" spans="2:4" x14ac:dyDescent="0.25">
      <c r="B133" s="5"/>
      <c r="C133" s="5"/>
      <c r="D133" s="5"/>
    </row>
    <row r="134" spans="2:4" x14ac:dyDescent="0.25">
      <c r="B134" s="5"/>
      <c r="C134" s="5"/>
      <c r="D134" s="5"/>
    </row>
    <row r="135" spans="2:4" x14ac:dyDescent="0.25">
      <c r="B135" s="5"/>
      <c r="C135" s="5"/>
      <c r="D135" s="5"/>
    </row>
    <row r="136" spans="2:4" x14ac:dyDescent="0.25">
      <c r="B136" s="5"/>
      <c r="C136" s="5"/>
      <c r="D136" s="5"/>
    </row>
    <row r="137" spans="2:4" x14ac:dyDescent="0.25">
      <c r="B137" s="5"/>
      <c r="C137" s="5"/>
      <c r="D137" s="5"/>
    </row>
    <row r="138" spans="2:4" x14ac:dyDescent="0.25">
      <c r="B138" s="5"/>
      <c r="C138" s="5"/>
      <c r="D138" s="5"/>
    </row>
    <row r="139" spans="2:4" x14ac:dyDescent="0.25">
      <c r="B139" s="5"/>
      <c r="C139" s="5"/>
      <c r="D139" s="5"/>
    </row>
    <row r="140" spans="2:4" x14ac:dyDescent="0.25">
      <c r="B140" s="5"/>
      <c r="C140" s="5"/>
      <c r="D140" s="5"/>
    </row>
    <row r="141" spans="2:4" x14ac:dyDescent="0.25">
      <c r="B141" s="5"/>
      <c r="C141" s="5"/>
      <c r="D141" s="5"/>
    </row>
    <row r="142" spans="2:4" x14ac:dyDescent="0.25">
      <c r="B142" s="5"/>
      <c r="C142" s="5"/>
      <c r="D142" s="5"/>
    </row>
    <row r="143" spans="2:4" x14ac:dyDescent="0.25">
      <c r="B143" s="5"/>
      <c r="C143" s="5"/>
      <c r="D143" s="5"/>
    </row>
    <row r="144" spans="2:4" x14ac:dyDescent="0.25">
      <c r="B144" s="5"/>
      <c r="C144" s="5"/>
      <c r="D144" s="5"/>
    </row>
    <row r="145" spans="2:2" x14ac:dyDescent="0.25">
      <c r="B145" s="5"/>
    </row>
    <row r="146" spans="2:2" x14ac:dyDescent="0.25">
      <c r="B146" s="5"/>
    </row>
    <row r="147" spans="2:2" x14ac:dyDescent="0.25">
      <c r="B147" s="5"/>
    </row>
  </sheetData>
  <sortState xmlns:xlrd2="http://schemas.microsoft.com/office/spreadsheetml/2017/richdata2" ref="A8:F89">
    <sortCondition descending="1" ref="F83:F89"/>
  </sortState>
  <mergeCells count="2">
    <mergeCell ref="B2:D2"/>
    <mergeCell ref="B5:E5"/>
  </mergeCells>
  <phoneticPr fontId="5" type="noConversion"/>
  <hyperlinks>
    <hyperlink ref="D10" r:id="rId1" display="https://www.usenix.org/conference/usenixsecurity22/presentation/vadayath" xr:uid="{9862145D-614E-4787-93E8-9CDCAE9AE075}"/>
    <hyperlink ref="D45" r:id="rId2" xr:uid="{D9EBCC30-1FF7-44C4-935A-28274DFBBD8A}"/>
    <hyperlink ref="D46" r:id="rId3" xr:uid="{09ED138B-69E0-4BD8-8E32-7C47D8096601}"/>
    <hyperlink ref="D64" r:id="rId4" xr:uid="{D57C74B2-AE2F-4473-97A5-4E055A36AA50}"/>
    <hyperlink ref="D51" r:id="rId5" xr:uid="{97D041B9-E18E-43F9-979F-C8D76F3C4D7D}"/>
    <hyperlink ref="D52" r:id="rId6" xr:uid="{CECFEC6F-DCD1-422F-82A0-BBDA56021C2E}"/>
    <hyperlink ref="D53" r:id="rId7" xr:uid="{9FD00A57-F992-449B-A171-1B1F78989D13}"/>
    <hyperlink ref="D54" r:id="rId8" xr:uid="{BE4ADCAC-E7F4-4128-8D54-F7BC3CA38CD7}"/>
    <hyperlink ref="D56" r:id="rId9" xr:uid="{833F5D12-A04D-4E24-BE03-73943ABB3943}"/>
    <hyperlink ref="D57" r:id="rId10" xr:uid="{05669259-0A1E-4942-9BC3-96597C6531F3}"/>
    <hyperlink ref="D55" r:id="rId11" xr:uid="{07CDC56C-B1C6-4B1A-A733-A49EBD02685C}"/>
    <hyperlink ref="D58" r:id="rId12" xr:uid="{39C67771-8C0B-4ABE-BF26-CAE6626531A3}"/>
    <hyperlink ref="D59" r:id="rId13" xr:uid="{C8C84A3F-D4A1-429F-990D-68557254BD38}"/>
    <hyperlink ref="D60" r:id="rId14" xr:uid="{5D170D55-8755-4FFA-AD72-EC597E2D7047}"/>
    <hyperlink ref="D61" r:id="rId15" xr:uid="{C6D2FCA7-147D-4F8E-8FE0-E4FA6F7DA972}"/>
    <hyperlink ref="D62" r:id="rId16" xr:uid="{D02421CF-5F82-43E0-94E5-23F1DD56B746}"/>
    <hyperlink ref="D63" r:id="rId17" display="https://ieeexplore.ieee.org/document/9293321" xr:uid="{9598CAA9-BCA3-454F-8FEE-2CE3269037D1}"/>
    <hyperlink ref="D47" r:id="rId18" xr:uid="{12A526DC-AD6A-4882-998A-D91D2EDBACF3}"/>
    <hyperlink ref="D16" r:id="rId19" xr:uid="{DF3187E2-38C0-41AE-8E28-BEB5EDEF49D9}"/>
    <hyperlink ref="D9" r:id="rId20" xr:uid="{A7FCFDF0-1CF9-40EE-8CE4-A2EAB2581344}"/>
    <hyperlink ref="D42" r:id="rId21" xr:uid="{7654F6CD-5AF0-476A-989A-5AF5BABEDC4A}"/>
    <hyperlink ref="D44" r:id="rId22" xr:uid="{F4A97E78-C1A8-42F1-B44B-9940FB60C03F}"/>
    <hyperlink ref="D41" r:id="rId23" xr:uid="{E8395AA5-ED90-414D-8146-EB5F689D8E15}"/>
    <hyperlink ref="D8" r:id="rId24" xr:uid="{0A2A20F7-98E2-4211-A030-EDC485847611}"/>
    <hyperlink ref="D12" r:id="rId25" xr:uid="{4ACC8B1A-88DD-4744-8712-03BD547E0A61}"/>
    <hyperlink ref="D13" r:id="rId26" xr:uid="{39A6977D-D98B-4E62-B794-91CA4CD5C6E2}"/>
    <hyperlink ref="D14" r:id="rId27" xr:uid="{DF03FC3B-012F-4150-BE53-4A694F59CEC6}"/>
    <hyperlink ref="D11" r:id="rId28" xr:uid="{6648D59E-D8E5-4128-B291-A921A212EDF4}"/>
    <hyperlink ref="D50" r:id="rId29" xr:uid="{72F20FF5-78B6-49A1-ADEA-94B57032331E}"/>
    <hyperlink ref="D48" r:id="rId30" xr:uid="{9361D263-6BCB-49CE-9294-2C49132666BC}"/>
    <hyperlink ref="D39" r:id="rId31" display="https://github.com/githubnext/amalfi-artifact_x000a_" xr:uid="{EB5B2959-D373-4A98-B0F7-0721D8E3A994}"/>
    <hyperlink ref="D40" r:id="rId32" display="https://ieeexplore.ieee.org/abstract/document/10402095" xr:uid="{40A95056-1D10-43BA-9592-8BA7588A6234}"/>
    <hyperlink ref="D17" r:id="rId33" display="https://alrawi.github.io/static/papers/supply-chain-NDSS21.pdf" xr:uid="{E1CCEE70-CD8E-4D49-8A71-8124C5E02A29}"/>
    <hyperlink ref="D66" r:id="rId34" display="https://dl.acm.org/doi/abs/10.1145/3524842.3528433" xr:uid="{C840EA62-8CB9-44AC-B7F6-91B255133362}"/>
    <hyperlink ref="D67" r:id="rId35" display="https://galoisinc.github.io/MATE/" xr:uid="{53C5E1DC-910F-4A4B-9AD5-E304BA86A350}"/>
    <hyperlink ref="D35" r:id="rId36" display="https://dl.acm.org/doi/pdf/10.1145/3597503.3639121" xr:uid="{6B23B663-2A01-4917-BA73-CFF280E90A53}"/>
    <hyperlink ref="D29" r:id="rId37" display="https://www.usenix.org/system/files/usenixsecurity23-li-wen.pdf_x000a_" xr:uid="{E45C1DED-3186-4710-B74D-F681D102E5C7}"/>
    <hyperlink ref="D24" r:id="rId38" display="https://dl.acm.org/doi/pdf/10.1145/3597926.3598059" xr:uid="{DC4F0D3B-5CF4-47C6-95F2-ABF596A8BD03}"/>
    <hyperlink ref="D30" r:id="rId39" display="https://ieeexplore.ieee.org/abstract/document/10597778" xr:uid="{682B2F08-F5C5-4606-81F6-D57CF0B7A9A2}"/>
    <hyperlink ref="D28" r:id="rId40" xr:uid="{82F8F638-944F-4285-8CCB-CF6EFAE09E05}"/>
    <hyperlink ref="D27" r:id="rId41" xr:uid="{B7F7FF32-BD94-4934-8AD2-94623BE19970}"/>
    <hyperlink ref="D18" r:id="rId42" xr:uid="{6F681124-AD0E-431C-9F9D-84C4D858C96C}"/>
    <hyperlink ref="D19" r:id="rId43" xr:uid="{F6B9B297-69E7-4089-B62D-3B79CB591F4F}"/>
    <hyperlink ref="D20" r:id="rId44" xr:uid="{0D14BD4C-3E7F-4CDD-8017-B2D5BB10AAB5}"/>
    <hyperlink ref="D38" r:id="rId45" xr:uid="{5200F1EC-6B18-4D11-84EC-18DAB8F509A0}"/>
    <hyperlink ref="D31" r:id="rId46" display="https://github.com/GCMiner" xr:uid="{B7321F3E-06EC-420A-9E13-62EDD0816503}"/>
    <hyperlink ref="D68" r:id="rId47" xr:uid="{768CCCBC-CB08-4FC3-AF02-33672D3F691F}"/>
    <hyperlink ref="D69" r:id="rId48" xr:uid="{3E19D0A9-EA40-4AE3-AEA9-7EE142BA6F84}"/>
    <hyperlink ref="D70" r:id="rId49" display="https://www.sciencedirect.com/science/article/abs/pii/S0950584921002421" xr:uid="{90F6D7C6-B962-49C5-8615-6B550D993521}"/>
    <hyperlink ref="D89" r:id="rId50" xr:uid="{A1CB7D2A-1954-4AB8-AF2D-270A7DFECE76}"/>
    <hyperlink ref="D71" r:id="rId51" xr:uid="{EC19F5FA-508B-4705-8C0D-0A5B5AAFDE05}"/>
    <hyperlink ref="D22" r:id="rId52" xr:uid="{B022F342-B45B-4AAD-925B-DD489AAD601C}"/>
    <hyperlink ref="D73" r:id="rId53" display="https://dl.acm.org/doi/abs/10.1145/3540250.3549098" xr:uid="{D1BFB661-7200-4DF5-8367-703DD19D41BC}"/>
    <hyperlink ref="D74" r:id="rId54" display="https://github.com/Xin-Cheng-Wen/MAGNET" xr:uid="{50CEE5D8-8BAC-430B-851A-5671CA6DAB4A}"/>
    <hyperlink ref="D77" r:id="rId55" xr:uid="{2719070A-9794-4EFC-8C3D-AF77FBF1B096}"/>
    <hyperlink ref="D87" r:id="rId56" xr:uid="{89ABCF38-BE3F-4A22-B267-7B47AAC64C8A}"/>
    <hyperlink ref="D34" r:id="rId57" xr:uid="{514D48B9-3354-402B-9952-692FB4EEE38E}"/>
    <hyperlink ref="D80" r:id="rId58" display="https://ieeexplore.ieee.org/document/10172763" xr:uid="{78D678B2-8140-4359-9ED5-11F1B1D35E14}"/>
    <hyperlink ref="D81" r:id="rId59" xr:uid="{E2CE17AC-AEAF-4221-B4C4-E465A594E554}"/>
    <hyperlink ref="D82" r:id="rId60" xr:uid="{92513BC9-8469-4CEA-9654-CBBEA5BC2843}"/>
    <hyperlink ref="D86" r:id="rId61" xr:uid="{1BBDC6C6-AB75-4752-AA7C-36702E7F4B0C}"/>
    <hyperlink ref="D85" r:id="rId62" xr:uid="{9154ACFD-9ADA-4522-9CD9-30836649FD4C}"/>
    <hyperlink ref="D15" r:id="rId63" display="https://dl.acm.org/doi/abs/10.1145/3611643.3616336_x000a_" xr:uid="{B3C3C82B-AD7D-4A88-8C33-F0E79A4EC0BE}"/>
    <hyperlink ref="D90" r:id="rId64" xr:uid="{F9F59162-D1D8-42EC-9CED-03D33C5D357C}"/>
    <hyperlink ref="D91" r:id="rId65" xr:uid="{B0DB6C5A-60C3-4B49-B5DA-EFD0B9F4B590}"/>
    <hyperlink ref="D32" r:id="rId66" xr:uid="{8C784B58-2B8B-466D-9AF4-2317D477F8F5}"/>
  </hyperlinks>
  <pageMargins left="0.7" right="0.7" top="0.75" bottom="0.75" header="0" footer="0"/>
  <pageSetup orientation="landscape" r:id="rId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5B1A-CBF1-4258-8155-E60EDE0AFA68}">
  <dimension ref="A2:C12"/>
  <sheetViews>
    <sheetView topLeftCell="A7" workbookViewId="0">
      <selection activeCell="B9" sqref="B9"/>
    </sheetView>
  </sheetViews>
  <sheetFormatPr defaultRowHeight="13.8" x14ac:dyDescent="0.25"/>
  <cols>
    <col min="2" max="2" width="44.09765625" customWidth="1"/>
    <col min="3" max="3" width="26.09765625" customWidth="1"/>
  </cols>
  <sheetData>
    <row r="2" spans="1:3" ht="14.4" thickBot="1" x14ac:dyDescent="0.3"/>
    <row r="3" spans="1:3" ht="14.4" thickBot="1" x14ac:dyDescent="0.3">
      <c r="A3" s="65" t="s">
        <v>196</v>
      </c>
      <c r="B3" s="66"/>
      <c r="C3" s="66"/>
    </row>
    <row r="4" spans="1:3" ht="14.4" thickBot="1" x14ac:dyDescent="0.3">
      <c r="A4" s="67"/>
      <c r="B4" s="67"/>
      <c r="C4" s="67"/>
    </row>
    <row r="5" spans="1:3" ht="14.4" thickBot="1" x14ac:dyDescent="0.3">
      <c r="A5" s="68" t="s">
        <v>4</v>
      </c>
      <c r="B5" s="69" t="s">
        <v>197</v>
      </c>
      <c r="C5" s="69" t="s">
        <v>198</v>
      </c>
    </row>
    <row r="6" spans="1:3" ht="27" thickBot="1" x14ac:dyDescent="0.3">
      <c r="A6" s="70">
        <v>1</v>
      </c>
      <c r="B6" s="71" t="s">
        <v>199</v>
      </c>
      <c r="C6" s="71" t="s">
        <v>200</v>
      </c>
    </row>
    <row r="7" spans="1:3" ht="93.75" customHeight="1" thickBot="1" x14ac:dyDescent="0.3">
      <c r="A7" s="70">
        <v>2</v>
      </c>
      <c r="B7" s="71" t="s">
        <v>201</v>
      </c>
      <c r="C7" s="71" t="s">
        <v>202</v>
      </c>
    </row>
    <row r="8" spans="1:3" ht="126.75" customHeight="1" thickBot="1" x14ac:dyDescent="0.3">
      <c r="A8" s="70">
        <v>3</v>
      </c>
      <c r="B8" s="71" t="s">
        <v>203</v>
      </c>
      <c r="C8" s="71">
        <v>3.5</v>
      </c>
    </row>
    <row r="9" spans="1:3" ht="189" customHeight="1" thickBot="1" x14ac:dyDescent="0.3">
      <c r="A9" s="70">
        <v>4</v>
      </c>
      <c r="B9" s="71" t="s">
        <v>204</v>
      </c>
      <c r="C9" s="71">
        <v>1.5</v>
      </c>
    </row>
    <row r="10" spans="1:3" ht="14.4" thickBot="1" x14ac:dyDescent="0.3">
      <c r="A10" s="72"/>
      <c r="B10" s="71"/>
      <c r="C10" s="71"/>
    </row>
    <row r="11" spans="1:3" ht="14.4" thickBot="1" x14ac:dyDescent="0.3">
      <c r="A11" s="72"/>
      <c r="B11" s="71"/>
      <c r="C11" s="71"/>
    </row>
    <row r="12" spans="1:3" ht="14.4" thickBot="1" x14ac:dyDescent="0.3">
      <c r="A12" s="72"/>
      <c r="B12" s="71"/>
      <c r="C12" s="7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6ACA-167F-4778-882A-954111BB8B70}">
  <dimension ref="A1:D15"/>
  <sheetViews>
    <sheetView tabSelected="1" topLeftCell="A9" workbookViewId="0">
      <selection activeCell="C15" sqref="C15"/>
    </sheetView>
  </sheetViews>
  <sheetFormatPr defaultRowHeight="13.8" x14ac:dyDescent="0.25"/>
  <cols>
    <col min="1" max="1" width="16.8984375" customWidth="1"/>
    <col min="2" max="2" width="25.8984375" customWidth="1"/>
    <col min="3" max="3" width="35.69921875" customWidth="1"/>
    <col min="4" max="4" width="26.69921875" customWidth="1"/>
  </cols>
  <sheetData>
    <row r="1" spans="1:4" ht="54" customHeight="1" x14ac:dyDescent="0.25">
      <c r="A1" s="114" t="s">
        <v>205</v>
      </c>
      <c r="B1" s="114"/>
      <c r="C1" s="114"/>
      <c r="D1" s="56"/>
    </row>
    <row r="2" spans="1:4" x14ac:dyDescent="0.25">
      <c r="A2" s="55"/>
      <c r="B2" s="56"/>
      <c r="C2" s="57" t="s">
        <v>206</v>
      </c>
      <c r="D2" s="56"/>
    </row>
    <row r="3" spans="1:4" ht="73.5" customHeight="1" x14ac:dyDescent="0.25">
      <c r="A3" s="116" t="s">
        <v>207</v>
      </c>
      <c r="B3" s="117"/>
      <c r="C3" s="117"/>
      <c r="D3" s="118"/>
    </row>
    <row r="4" spans="1:4" ht="129" customHeight="1" x14ac:dyDescent="0.25">
      <c r="A4" s="115" t="s">
        <v>208</v>
      </c>
      <c r="B4" s="115"/>
      <c r="C4" s="115"/>
      <c r="D4" s="58"/>
    </row>
    <row r="5" spans="1:4" x14ac:dyDescent="0.25">
      <c r="A5" s="21"/>
      <c r="B5" s="21"/>
      <c r="C5" s="21"/>
      <c r="D5" s="21"/>
    </row>
    <row r="6" spans="1:4" x14ac:dyDescent="0.25">
      <c r="A6" s="22" t="s">
        <v>209</v>
      </c>
      <c r="B6" s="23" t="s">
        <v>210</v>
      </c>
      <c r="C6" s="23" t="s">
        <v>211</v>
      </c>
      <c r="D6" s="24" t="s">
        <v>212</v>
      </c>
    </row>
    <row r="7" spans="1:4" ht="66" customHeight="1" x14ac:dyDescent="0.25">
      <c r="A7" s="25" t="s">
        <v>213</v>
      </c>
      <c r="B7" s="26" t="s">
        <v>214</v>
      </c>
      <c r="C7" s="27" t="s">
        <v>215</v>
      </c>
      <c r="D7" s="28" t="s">
        <v>216</v>
      </c>
    </row>
    <row r="8" spans="1:4" ht="63" customHeight="1" x14ac:dyDescent="0.25">
      <c r="A8" s="25" t="s">
        <v>217</v>
      </c>
      <c r="B8" s="26" t="s">
        <v>218</v>
      </c>
      <c r="C8" s="27" t="s">
        <v>215</v>
      </c>
      <c r="D8" s="29" t="s">
        <v>216</v>
      </c>
    </row>
    <row r="9" spans="1:4" ht="54.75" customHeight="1" x14ac:dyDescent="0.25">
      <c r="A9" s="25" t="s">
        <v>219</v>
      </c>
      <c r="B9" s="26" t="s">
        <v>220</v>
      </c>
      <c r="C9" s="27" t="s">
        <v>215</v>
      </c>
      <c r="D9" s="29" t="s">
        <v>216</v>
      </c>
    </row>
    <row r="10" spans="1:4" ht="54.75" customHeight="1" x14ac:dyDescent="0.25">
      <c r="A10" s="106" t="s">
        <v>221</v>
      </c>
      <c r="B10" s="107" t="s">
        <v>222</v>
      </c>
      <c r="C10" s="27" t="s">
        <v>215</v>
      </c>
      <c r="D10" s="29" t="s">
        <v>216</v>
      </c>
    </row>
    <row r="11" spans="1:4" ht="54.75" customHeight="1" x14ac:dyDescent="0.25">
      <c r="A11" s="56" t="s">
        <v>223</v>
      </c>
      <c r="B11" s="56" t="s">
        <v>224</v>
      </c>
      <c r="C11" s="27" t="s">
        <v>215</v>
      </c>
      <c r="D11" s="29" t="s">
        <v>216</v>
      </c>
    </row>
    <row r="12" spans="1:4" ht="57" customHeight="1" x14ac:dyDescent="0.25">
      <c r="A12" s="56" t="s">
        <v>225</v>
      </c>
      <c r="B12" s="56" t="s">
        <v>226</v>
      </c>
      <c r="C12" s="108" t="s">
        <v>215</v>
      </c>
      <c r="D12" s="109" t="s">
        <v>216</v>
      </c>
    </row>
    <row r="13" spans="1:4" ht="61.5" customHeight="1" x14ac:dyDescent="0.25">
      <c r="A13" s="25" t="s">
        <v>227</v>
      </c>
      <c r="B13" s="26" t="s">
        <v>228</v>
      </c>
      <c r="C13" s="27" t="s">
        <v>215</v>
      </c>
      <c r="D13" s="29" t="s">
        <v>216</v>
      </c>
    </row>
    <row r="14" spans="1:4" ht="61.5" customHeight="1" x14ac:dyDescent="0.25">
      <c r="A14" s="25" t="s">
        <v>229</v>
      </c>
      <c r="B14" s="26" t="s">
        <v>230</v>
      </c>
      <c r="C14" s="108" t="s">
        <v>215</v>
      </c>
      <c r="D14" s="29"/>
    </row>
    <row r="15" spans="1:4" ht="57" customHeight="1" x14ac:dyDescent="0.25">
      <c r="A15" s="56" t="s">
        <v>231</v>
      </c>
      <c r="B15" s="110" t="s">
        <v>232</v>
      </c>
      <c r="C15" s="105" t="s">
        <v>215</v>
      </c>
      <c r="D15" s="30"/>
    </row>
  </sheetData>
  <mergeCells count="3">
    <mergeCell ref="A1:C1"/>
    <mergeCell ref="A4:C4"/>
    <mergeCell ref="A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797D-FF30-45C5-98F0-A94731571847}">
  <dimension ref="A1:I998"/>
  <sheetViews>
    <sheetView workbookViewId="0">
      <selection activeCell="E33" sqref="E33"/>
    </sheetView>
  </sheetViews>
  <sheetFormatPr defaultColWidth="12.59765625" defaultRowHeight="15" customHeight="1" x14ac:dyDescent="0.25"/>
  <cols>
    <col min="1" max="1" width="10.5" customWidth="1"/>
    <col min="2" max="2" width="22.5" customWidth="1"/>
    <col min="3" max="3" width="39.8984375" customWidth="1"/>
    <col min="4" max="4" width="24.8984375" customWidth="1"/>
    <col min="5" max="5" width="14.69921875" customWidth="1"/>
    <col min="6" max="6" width="22.3984375" customWidth="1"/>
    <col min="7" max="7" width="10.8984375" customWidth="1"/>
    <col min="8" max="8" width="20.8984375" customWidth="1"/>
    <col min="9" max="9" width="15.19921875" customWidth="1"/>
    <col min="10" max="26" width="7.59765625" customWidth="1"/>
  </cols>
  <sheetData>
    <row r="1" spans="1:9" ht="14.25" customHeight="1" x14ac:dyDescent="0.25"/>
    <row r="2" spans="1:9" ht="50.25" customHeight="1" x14ac:dyDescent="0.25">
      <c r="A2" s="119" t="s">
        <v>233</v>
      </c>
      <c r="B2" s="120"/>
      <c r="C2" s="120"/>
    </row>
    <row r="3" spans="1:9" ht="33" customHeight="1" x14ac:dyDescent="0.25">
      <c r="A3" s="1"/>
      <c r="B3" s="2"/>
      <c r="C3" s="13" t="s">
        <v>206</v>
      </c>
    </row>
    <row r="4" spans="1:9" ht="33" customHeight="1" x14ac:dyDescent="0.25">
      <c r="A4" s="1"/>
      <c r="B4" s="2"/>
      <c r="C4" s="2" t="s">
        <v>234</v>
      </c>
    </row>
    <row r="5" spans="1:9" ht="14.25" customHeight="1" x14ac:dyDescent="0.25"/>
    <row r="6" spans="1:9" ht="41.4" x14ac:dyDescent="0.25">
      <c r="A6" s="6" t="s">
        <v>235</v>
      </c>
      <c r="B6" s="44" t="s">
        <v>236</v>
      </c>
      <c r="C6" s="45" t="s">
        <v>237</v>
      </c>
      <c r="D6" s="8" t="s">
        <v>211</v>
      </c>
      <c r="E6" s="8" t="s">
        <v>238</v>
      </c>
      <c r="F6" s="8" t="s">
        <v>239</v>
      </c>
      <c r="G6" s="8" t="s">
        <v>240</v>
      </c>
      <c r="H6" s="34" t="s">
        <v>241</v>
      </c>
      <c r="I6" s="34" t="s">
        <v>242</v>
      </c>
    </row>
    <row r="7" spans="1:9" ht="33.75" customHeight="1" x14ac:dyDescent="0.25">
      <c r="A7" s="42" t="s">
        <v>243</v>
      </c>
      <c r="B7" s="18"/>
      <c r="C7" s="19"/>
      <c r="D7" s="18"/>
      <c r="E7" s="31"/>
      <c r="F7" s="31"/>
      <c r="G7" s="31"/>
      <c r="H7" s="37"/>
      <c r="I7" s="37"/>
    </row>
    <row r="8" spans="1:9" ht="13.8" x14ac:dyDescent="0.25">
      <c r="A8" s="42" t="s">
        <v>244</v>
      </c>
      <c r="B8" s="17"/>
      <c r="C8" s="19"/>
      <c r="D8" s="18"/>
      <c r="E8" s="31"/>
      <c r="F8" s="31"/>
      <c r="G8" s="31"/>
      <c r="H8" s="31"/>
      <c r="I8" s="31"/>
    </row>
    <row r="9" spans="1:9" ht="13.8" x14ac:dyDescent="0.25">
      <c r="A9" s="42" t="s">
        <v>245</v>
      </c>
      <c r="B9" s="18"/>
      <c r="C9" s="20"/>
      <c r="D9" s="18"/>
      <c r="E9" s="31"/>
      <c r="F9" s="18"/>
      <c r="G9" s="31"/>
      <c r="H9" s="31"/>
      <c r="I9" s="37"/>
    </row>
    <row r="10" spans="1:9" ht="13.8" x14ac:dyDescent="0.25">
      <c r="A10" s="42" t="s">
        <v>246</v>
      </c>
      <c r="B10" s="18"/>
      <c r="C10" s="3"/>
      <c r="D10" s="18"/>
      <c r="E10" s="31"/>
      <c r="F10" s="18"/>
      <c r="G10" s="31"/>
      <c r="H10" s="37"/>
      <c r="I10" s="37"/>
    </row>
    <row r="11" spans="1:9" ht="13.8" x14ac:dyDescent="0.25">
      <c r="A11" s="42" t="s">
        <v>247</v>
      </c>
      <c r="B11" s="18"/>
      <c r="C11" s="3"/>
      <c r="D11" s="18"/>
      <c r="E11" s="31"/>
      <c r="F11" s="18"/>
      <c r="G11" s="31"/>
      <c r="H11" s="37"/>
      <c r="I11" s="37"/>
    </row>
    <row r="12" spans="1:9" ht="13.8" x14ac:dyDescent="0.25">
      <c r="A12" s="42" t="s">
        <v>248</v>
      </c>
      <c r="B12" s="18"/>
      <c r="C12" s="38"/>
      <c r="D12" s="18"/>
      <c r="E12" s="31"/>
      <c r="F12" s="31"/>
      <c r="G12" s="31"/>
      <c r="H12" s="31"/>
      <c r="I12" s="31"/>
    </row>
    <row r="13" spans="1:9" ht="13.8" x14ac:dyDescent="0.25">
      <c r="A13" s="42" t="s">
        <v>249</v>
      </c>
      <c r="B13" s="18"/>
      <c r="C13" s="3"/>
      <c r="D13" s="18"/>
      <c r="E13" s="31"/>
      <c r="F13" s="31"/>
      <c r="G13" s="32"/>
      <c r="H13" s="37"/>
      <c r="I13" s="37"/>
    </row>
    <row r="14" spans="1:9" ht="13.8" x14ac:dyDescent="0.25">
      <c r="A14" s="42" t="s">
        <v>250</v>
      </c>
      <c r="B14" s="18"/>
      <c r="C14" s="3"/>
      <c r="D14" s="18"/>
      <c r="E14" s="31"/>
      <c r="F14" s="31"/>
      <c r="G14" s="31"/>
      <c r="H14" s="31"/>
      <c r="I14" s="31"/>
    </row>
    <row r="15" spans="1:9" ht="13.8" x14ac:dyDescent="0.25">
      <c r="A15" s="42" t="s">
        <v>251</v>
      </c>
      <c r="B15" s="18"/>
      <c r="C15" s="3"/>
      <c r="D15" s="18"/>
      <c r="E15" s="31"/>
      <c r="F15" s="31"/>
      <c r="G15" s="31"/>
      <c r="H15" s="37"/>
      <c r="I15" s="37"/>
    </row>
    <row r="16" spans="1:9" ht="13.8" x14ac:dyDescent="0.25">
      <c r="A16" s="42" t="s">
        <v>252</v>
      </c>
      <c r="B16" s="18"/>
      <c r="C16" s="3"/>
      <c r="D16" s="39"/>
      <c r="E16" s="32"/>
      <c r="F16" s="32"/>
      <c r="G16" s="31"/>
      <c r="H16" s="121"/>
      <c r="I16" s="40"/>
    </row>
    <row r="17" spans="1:9" ht="13.8" x14ac:dyDescent="0.25">
      <c r="A17" s="42" t="s">
        <v>253</v>
      </c>
      <c r="B17" s="18"/>
      <c r="C17" s="3"/>
      <c r="D17" s="39"/>
      <c r="E17" s="31"/>
      <c r="F17" s="31"/>
      <c r="G17" s="31"/>
      <c r="H17" s="121"/>
      <c r="I17" s="40"/>
    </row>
    <row r="18" spans="1:9" ht="13.8" x14ac:dyDescent="0.25">
      <c r="A18" s="42" t="s">
        <v>254</v>
      </c>
      <c r="B18" s="18"/>
      <c r="C18" s="3"/>
      <c r="D18" s="18"/>
      <c r="E18" s="31"/>
      <c r="F18" s="31"/>
      <c r="G18" s="31"/>
      <c r="H18" s="31"/>
      <c r="I18" s="31"/>
    </row>
    <row r="19" spans="1:9" ht="13.8" x14ac:dyDescent="0.25">
      <c r="A19" s="42" t="s">
        <v>255</v>
      </c>
      <c r="B19" s="17"/>
      <c r="C19" s="19"/>
      <c r="D19" s="18"/>
      <c r="E19" s="32"/>
      <c r="F19" s="41"/>
      <c r="G19" s="31"/>
      <c r="H19" s="37"/>
      <c r="I19" s="37"/>
    </row>
    <row r="20" spans="1:9" ht="13.8" x14ac:dyDescent="0.25">
      <c r="A20" s="42" t="s">
        <v>256</v>
      </c>
      <c r="B20" s="18"/>
      <c r="C20" s="19"/>
      <c r="D20" s="18"/>
      <c r="E20" s="31"/>
      <c r="F20" s="31"/>
      <c r="G20" s="31"/>
      <c r="H20" s="31"/>
      <c r="I20" s="31"/>
    </row>
    <row r="21" spans="1:9" ht="13.8" x14ac:dyDescent="0.25">
      <c r="A21" s="42" t="s">
        <v>257</v>
      </c>
      <c r="B21" s="18"/>
      <c r="C21" s="19"/>
      <c r="D21" s="18"/>
      <c r="E21" s="31"/>
      <c r="F21" s="18"/>
      <c r="G21" s="31"/>
      <c r="H21" s="37"/>
      <c r="I21" s="37"/>
    </row>
    <row r="22" spans="1:9" ht="13.8" x14ac:dyDescent="0.25">
      <c r="A22" s="42" t="s">
        <v>258</v>
      </c>
      <c r="B22" s="17"/>
      <c r="C22" s="19"/>
      <c r="D22" s="18"/>
      <c r="E22" s="31"/>
      <c r="F22" s="31"/>
      <c r="G22" s="31"/>
      <c r="H22" s="31"/>
      <c r="I22" s="31"/>
    </row>
    <row r="23" spans="1:9" ht="13.8" x14ac:dyDescent="0.25">
      <c r="A23" s="42" t="s">
        <v>259</v>
      </c>
      <c r="B23" s="18"/>
      <c r="C23" s="11"/>
      <c r="D23" s="18"/>
      <c r="E23" s="32"/>
      <c r="F23" s="41"/>
      <c r="G23" s="31"/>
      <c r="H23" s="40"/>
      <c r="I23" s="37"/>
    </row>
    <row r="24" spans="1:9" ht="13.8" x14ac:dyDescent="0.25">
      <c r="A24" s="42" t="s">
        <v>260</v>
      </c>
      <c r="B24" s="18"/>
      <c r="C24" s="11"/>
      <c r="D24" s="18"/>
      <c r="E24" s="32"/>
      <c r="F24" s="41"/>
      <c r="G24" s="31"/>
      <c r="H24" s="31"/>
      <c r="I24" s="31"/>
    </row>
    <row r="25" spans="1:9" ht="13.8" x14ac:dyDescent="0.25">
      <c r="A25" s="43" t="s">
        <v>261</v>
      </c>
      <c r="B25" s="4"/>
      <c r="C25" s="10"/>
      <c r="D25" s="31"/>
      <c r="E25" s="31"/>
      <c r="F25" s="31"/>
      <c r="G25" s="31"/>
      <c r="H25" s="31"/>
      <c r="I25" s="31"/>
    </row>
    <row r="26" spans="1:9" ht="13.8" x14ac:dyDescent="0.25">
      <c r="A26" s="12" t="s">
        <v>262</v>
      </c>
      <c r="B26" s="46"/>
      <c r="C26" s="47"/>
      <c r="D26" s="48"/>
      <c r="E26" s="49"/>
    </row>
    <row r="27" spans="1:9" ht="14.25" customHeight="1" x14ac:dyDescent="0.25">
      <c r="A27" s="2"/>
      <c r="B27" s="5"/>
      <c r="C27" s="5"/>
    </row>
    <row r="28" spans="1:9" ht="14.25" customHeight="1" x14ac:dyDescent="0.25">
      <c r="A28" s="2"/>
      <c r="B28" s="5"/>
      <c r="C28" s="5"/>
    </row>
    <row r="29" spans="1:9" ht="14.25" customHeight="1" x14ac:dyDescent="0.25">
      <c r="A29" s="2"/>
      <c r="B29" s="5"/>
      <c r="C29" s="5"/>
    </row>
    <row r="30" spans="1:9" ht="14.25" customHeight="1" x14ac:dyDescent="0.25">
      <c r="A30" s="2"/>
      <c r="B30" s="5"/>
      <c r="C30" s="5"/>
    </row>
    <row r="31" spans="1:9" ht="14.25" customHeight="1" x14ac:dyDescent="0.25">
      <c r="A31" s="2"/>
      <c r="B31" s="5"/>
      <c r="C31" s="5"/>
    </row>
    <row r="32" spans="1:9" ht="14.25" customHeight="1" x14ac:dyDescent="0.25">
      <c r="A32" s="2"/>
      <c r="B32" s="5"/>
      <c r="C32" s="5"/>
    </row>
    <row r="33" spans="1:3" ht="14.25" customHeight="1" x14ac:dyDescent="0.25">
      <c r="A33" s="2"/>
      <c r="B33" s="5"/>
      <c r="C33" s="5"/>
    </row>
    <row r="34" spans="1:3" ht="14.25" customHeight="1" x14ac:dyDescent="0.25">
      <c r="A34" s="5"/>
      <c r="B34" s="5"/>
      <c r="C34" s="5"/>
    </row>
    <row r="35" spans="1:3" ht="14.25" customHeight="1" x14ac:dyDescent="0.25">
      <c r="A35" s="5"/>
      <c r="B35" s="5"/>
      <c r="C35" s="5"/>
    </row>
    <row r="36" spans="1:3" ht="14.25" customHeight="1" x14ac:dyDescent="0.25">
      <c r="A36" s="5"/>
      <c r="B36" s="5"/>
      <c r="C36" s="5"/>
    </row>
    <row r="37" spans="1:3" ht="14.25" customHeight="1" x14ac:dyDescent="0.25">
      <c r="A37" s="5"/>
      <c r="B37" s="5"/>
      <c r="C37" s="5"/>
    </row>
    <row r="38" spans="1:3" ht="14.25" customHeight="1" x14ac:dyDescent="0.25">
      <c r="A38" s="5"/>
      <c r="B38" s="5"/>
      <c r="C38" s="5"/>
    </row>
    <row r="39" spans="1:3" ht="14.25" customHeight="1" x14ac:dyDescent="0.25">
      <c r="A39" s="5"/>
      <c r="B39" s="5"/>
      <c r="C39" s="5"/>
    </row>
    <row r="40" spans="1:3" ht="14.25" customHeight="1" x14ac:dyDescent="0.25">
      <c r="A40" s="5"/>
      <c r="B40" s="5"/>
      <c r="C40" s="5"/>
    </row>
    <row r="41" spans="1:3" ht="14.25" customHeight="1" x14ac:dyDescent="0.25">
      <c r="A41" s="5"/>
      <c r="B41" s="5"/>
      <c r="C41" s="5"/>
    </row>
    <row r="42" spans="1:3" ht="14.25" customHeight="1" x14ac:dyDescent="0.25">
      <c r="A42" s="5"/>
      <c r="B42" s="5"/>
      <c r="C42" s="5"/>
    </row>
    <row r="43" spans="1:3" ht="14.25" customHeight="1" x14ac:dyDescent="0.25">
      <c r="A43" s="5"/>
      <c r="B43" s="5"/>
      <c r="C43" s="5"/>
    </row>
    <row r="44" spans="1:3" ht="14.25" customHeight="1" x14ac:dyDescent="0.25">
      <c r="A44" s="5"/>
      <c r="B44" s="5"/>
      <c r="C44" s="5"/>
    </row>
    <row r="45" spans="1:3" ht="14.25" customHeight="1" x14ac:dyDescent="0.25">
      <c r="A45" s="5"/>
      <c r="B45" s="5"/>
      <c r="C45" s="5"/>
    </row>
    <row r="46" spans="1:3" ht="14.25" customHeight="1" x14ac:dyDescent="0.25">
      <c r="A46" s="5"/>
      <c r="B46" s="5"/>
      <c r="C46" s="5"/>
    </row>
    <row r="47" spans="1:3" ht="14.25" customHeight="1" x14ac:dyDescent="0.25">
      <c r="A47" s="5"/>
      <c r="B47" s="5"/>
      <c r="C47" s="5"/>
    </row>
    <row r="48" spans="1:3" ht="14.25" customHeight="1" x14ac:dyDescent="0.25">
      <c r="A48" s="5"/>
      <c r="B48" s="5"/>
      <c r="C48" s="5"/>
    </row>
    <row r="49" spans="1:3" ht="14.25" customHeight="1" x14ac:dyDescent="0.25">
      <c r="A49" s="5"/>
      <c r="B49" s="5"/>
      <c r="C49" s="5"/>
    </row>
    <row r="50" spans="1:3" ht="14.25" customHeight="1" x14ac:dyDescent="0.25">
      <c r="A50" s="5"/>
      <c r="B50" s="5"/>
      <c r="C50" s="5"/>
    </row>
    <row r="51" spans="1:3" ht="14.25" customHeight="1" x14ac:dyDescent="0.25">
      <c r="A51" s="5"/>
      <c r="B51" s="5"/>
      <c r="C51" s="5"/>
    </row>
    <row r="52" spans="1:3" ht="14.25" customHeight="1" x14ac:dyDescent="0.25">
      <c r="A52" s="5"/>
      <c r="B52" s="5"/>
      <c r="C52" s="5"/>
    </row>
    <row r="53" spans="1:3" ht="14.25" customHeight="1" x14ac:dyDescent="0.25">
      <c r="A53" s="5"/>
      <c r="B53" s="5"/>
      <c r="C53" s="5"/>
    </row>
    <row r="54" spans="1:3" ht="14.25" customHeight="1" x14ac:dyDescent="0.25">
      <c r="A54" s="5"/>
      <c r="B54" s="5"/>
      <c r="C54" s="5"/>
    </row>
    <row r="55" spans="1:3" ht="14.25" customHeight="1" x14ac:dyDescent="0.25">
      <c r="A55" s="5"/>
      <c r="B55" s="5"/>
      <c r="C55" s="5"/>
    </row>
    <row r="56" spans="1:3" ht="14.25" customHeight="1" x14ac:dyDescent="0.25">
      <c r="A56" s="5"/>
      <c r="B56" s="5"/>
      <c r="C56" s="5"/>
    </row>
    <row r="57" spans="1:3" ht="14.25" customHeight="1" x14ac:dyDescent="0.25">
      <c r="A57" s="5"/>
      <c r="B57" s="5"/>
      <c r="C57" s="5"/>
    </row>
    <row r="58" spans="1:3" ht="14.25" customHeight="1" x14ac:dyDescent="0.25">
      <c r="A58" s="5"/>
      <c r="B58" s="5"/>
      <c r="C58" s="5"/>
    </row>
    <row r="59" spans="1:3" ht="14.25" customHeight="1" x14ac:dyDescent="0.25">
      <c r="A59" s="5"/>
      <c r="B59" s="5"/>
      <c r="C59" s="5"/>
    </row>
    <row r="60" spans="1:3" ht="14.25" customHeight="1" x14ac:dyDescent="0.25">
      <c r="A60" s="5"/>
      <c r="B60" s="5"/>
      <c r="C60" s="5"/>
    </row>
    <row r="61" spans="1:3" ht="14.25" customHeight="1" x14ac:dyDescent="0.25">
      <c r="A61" s="5"/>
      <c r="B61" s="5"/>
      <c r="C61" s="5"/>
    </row>
    <row r="62" spans="1:3" ht="14.25" customHeight="1" x14ac:dyDescent="0.25">
      <c r="A62" s="5"/>
      <c r="B62" s="5"/>
      <c r="C62" s="5"/>
    </row>
    <row r="63" spans="1:3" ht="14.25" customHeight="1" x14ac:dyDescent="0.25">
      <c r="A63" s="5"/>
      <c r="B63" s="5"/>
      <c r="C63" s="5"/>
    </row>
    <row r="64" spans="1:3" ht="14.25" customHeight="1" x14ac:dyDescent="0.25">
      <c r="A64" s="5"/>
      <c r="B64" s="5"/>
      <c r="C64" s="5"/>
    </row>
    <row r="65" spans="1:3" ht="14.25" customHeight="1" x14ac:dyDescent="0.25">
      <c r="A65" s="5"/>
      <c r="B65" s="5"/>
      <c r="C65" s="5"/>
    </row>
    <row r="66" spans="1:3" ht="14.25" customHeight="1" x14ac:dyDescent="0.25">
      <c r="A66" s="5"/>
      <c r="B66" s="5"/>
      <c r="C66" s="5"/>
    </row>
    <row r="67" spans="1:3" ht="14.25" customHeight="1" x14ac:dyDescent="0.25">
      <c r="A67" s="5"/>
      <c r="B67" s="5"/>
      <c r="C67" s="5"/>
    </row>
    <row r="68" spans="1:3" ht="14.25" customHeight="1" x14ac:dyDescent="0.25">
      <c r="A68" s="5"/>
      <c r="B68" s="5"/>
      <c r="C68" s="5"/>
    </row>
    <row r="69" spans="1:3" ht="14.25" customHeight="1" x14ac:dyDescent="0.25">
      <c r="A69" s="5"/>
      <c r="B69" s="5"/>
      <c r="C69" s="5"/>
    </row>
    <row r="70" spans="1:3" ht="14.25" customHeight="1" x14ac:dyDescent="0.25">
      <c r="A70" s="5"/>
      <c r="B70" s="5"/>
      <c r="C70" s="5"/>
    </row>
    <row r="71" spans="1:3" ht="14.25" customHeight="1" x14ac:dyDescent="0.25">
      <c r="A71" s="5"/>
      <c r="B71" s="5"/>
      <c r="C71" s="5"/>
    </row>
    <row r="72" spans="1:3" ht="14.25" customHeight="1" x14ac:dyDescent="0.25">
      <c r="A72" s="5"/>
      <c r="B72" s="5"/>
      <c r="C72" s="5"/>
    </row>
    <row r="73" spans="1:3" ht="14.25" customHeight="1" x14ac:dyDescent="0.25">
      <c r="A73" s="5"/>
      <c r="B73" s="5"/>
      <c r="C73" s="5"/>
    </row>
    <row r="74" spans="1:3" ht="14.25" customHeight="1" x14ac:dyDescent="0.25">
      <c r="A74" s="5"/>
      <c r="B74" s="5"/>
      <c r="C74" s="5"/>
    </row>
    <row r="75" spans="1:3" ht="14.25" customHeight="1" x14ac:dyDescent="0.25">
      <c r="A75" s="5"/>
      <c r="B75" s="5"/>
      <c r="C75" s="5"/>
    </row>
    <row r="76" spans="1:3" ht="14.25" customHeight="1" x14ac:dyDescent="0.25">
      <c r="A76" s="5"/>
      <c r="B76" s="5"/>
      <c r="C76" s="5"/>
    </row>
    <row r="77" spans="1:3" ht="14.25" customHeight="1" x14ac:dyDescent="0.25">
      <c r="A77" s="5"/>
      <c r="B77" s="5"/>
      <c r="C77" s="5"/>
    </row>
    <row r="78" spans="1:3" ht="14.25" customHeight="1" x14ac:dyDescent="0.25">
      <c r="A78" s="5"/>
      <c r="B78" s="5"/>
      <c r="C78" s="5"/>
    </row>
    <row r="79" spans="1:3" ht="14.25" customHeight="1" x14ac:dyDescent="0.25">
      <c r="A79" s="5"/>
      <c r="B79" s="5"/>
      <c r="C79" s="5"/>
    </row>
    <row r="80" spans="1:3" ht="14.25" customHeight="1" x14ac:dyDescent="0.25">
      <c r="A80" s="5"/>
      <c r="B80" s="5"/>
      <c r="C80" s="5"/>
    </row>
    <row r="81" spans="1:3" ht="14.25" customHeight="1" x14ac:dyDescent="0.25">
      <c r="A81" s="5"/>
      <c r="B81" s="5"/>
      <c r="C81" s="5"/>
    </row>
    <row r="82" spans="1:3" ht="14.25" customHeight="1" x14ac:dyDescent="0.25">
      <c r="A82" s="5"/>
      <c r="B82" s="5"/>
      <c r="C82" s="5"/>
    </row>
    <row r="83" spans="1:3" ht="14.25" customHeight="1" x14ac:dyDescent="0.25">
      <c r="A83" s="5"/>
      <c r="B83" s="5"/>
      <c r="C83" s="5"/>
    </row>
    <row r="84" spans="1:3" ht="14.25" customHeight="1" x14ac:dyDescent="0.25">
      <c r="A84" s="5"/>
      <c r="B84" s="5"/>
      <c r="C84" s="5"/>
    </row>
    <row r="85" spans="1:3" ht="14.25" customHeight="1" x14ac:dyDescent="0.25">
      <c r="A85" s="5"/>
      <c r="B85" s="5"/>
      <c r="C85" s="5"/>
    </row>
    <row r="86" spans="1:3" ht="14.25" customHeight="1" x14ac:dyDescent="0.25">
      <c r="A86" s="5"/>
      <c r="B86" s="5"/>
      <c r="C86" s="5"/>
    </row>
    <row r="87" spans="1:3" ht="14.25" customHeight="1" x14ac:dyDescent="0.25">
      <c r="A87" s="5"/>
      <c r="B87" s="5"/>
      <c r="C87" s="5"/>
    </row>
    <row r="88" spans="1:3" ht="14.25" customHeight="1" x14ac:dyDescent="0.25">
      <c r="A88" s="5"/>
      <c r="B88" s="5"/>
      <c r="C88" s="5"/>
    </row>
    <row r="89" spans="1:3" ht="14.25" customHeight="1" x14ac:dyDescent="0.25">
      <c r="A89" s="5"/>
      <c r="B89" s="5"/>
      <c r="C89" s="5"/>
    </row>
    <row r="90" spans="1:3" ht="14.25" customHeight="1" x14ac:dyDescent="0.25">
      <c r="A90" s="5"/>
    </row>
    <row r="91" spans="1:3" ht="14.25" customHeight="1" x14ac:dyDescent="0.25">
      <c r="A91" s="5"/>
    </row>
    <row r="92" spans="1:3" ht="14.25" customHeight="1" x14ac:dyDescent="0.25">
      <c r="A92" s="5"/>
    </row>
    <row r="93" spans="1:3" ht="14.25" customHeight="1" x14ac:dyDescent="0.25"/>
    <row r="94" spans="1:3" ht="14.25" customHeight="1" x14ac:dyDescent="0.25"/>
    <row r="95" spans="1:3" ht="14.25" customHeight="1" x14ac:dyDescent="0.25"/>
    <row r="96" spans="1:3"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mergeCells count="2">
    <mergeCell ref="A2:C2"/>
    <mergeCell ref="H16:H17"/>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89D8-A81F-4EE1-AED1-B5EA61DFD05E}">
  <dimension ref="A1:K998"/>
  <sheetViews>
    <sheetView workbookViewId="0">
      <selection activeCell="B7" sqref="B7"/>
    </sheetView>
  </sheetViews>
  <sheetFormatPr defaultColWidth="12.59765625" defaultRowHeight="15" customHeight="1" x14ac:dyDescent="0.25"/>
  <cols>
    <col min="1" max="1" width="10.5" customWidth="1"/>
    <col min="2" max="2" width="22.5" customWidth="1"/>
    <col min="3" max="3" width="39.8984375" customWidth="1"/>
    <col min="4" max="4" width="25.69921875" customWidth="1"/>
    <col min="5" max="5" width="15.09765625" customWidth="1"/>
    <col min="6" max="6" width="18.09765625" customWidth="1"/>
    <col min="7" max="7" width="17" customWidth="1"/>
    <col min="8" max="8" width="13.09765625" customWidth="1"/>
    <col min="9" max="9" width="29.09765625" customWidth="1"/>
    <col min="10" max="10" width="20.59765625" customWidth="1"/>
    <col min="11" max="11" width="13.19921875" customWidth="1"/>
    <col min="12" max="26" width="7.59765625" customWidth="1"/>
  </cols>
  <sheetData>
    <row r="1" spans="1:11" ht="14.25" customHeight="1" x14ac:dyDescent="0.25"/>
    <row r="2" spans="1:11" ht="50.25" customHeight="1" x14ac:dyDescent="0.25">
      <c r="A2" s="119" t="s">
        <v>233</v>
      </c>
      <c r="B2" s="120"/>
      <c r="C2" s="120"/>
    </row>
    <row r="3" spans="1:11" ht="33" customHeight="1" x14ac:dyDescent="0.25">
      <c r="A3" s="1"/>
      <c r="B3" s="2"/>
      <c r="C3" s="13" t="s">
        <v>206</v>
      </c>
    </row>
    <row r="4" spans="1:11" ht="33" customHeight="1" x14ac:dyDescent="0.25">
      <c r="A4" s="1"/>
      <c r="B4" s="2"/>
      <c r="C4" s="7" t="s">
        <v>263</v>
      </c>
    </row>
    <row r="5" spans="1:11" ht="14.25" customHeight="1" x14ac:dyDescent="0.25"/>
    <row r="6" spans="1:11" ht="41.4" x14ac:dyDescent="0.25">
      <c r="A6" s="6" t="s">
        <v>235</v>
      </c>
      <c r="B6" s="44" t="s">
        <v>236</v>
      </c>
      <c r="C6" s="45" t="s">
        <v>237</v>
      </c>
      <c r="D6" s="8" t="s">
        <v>264</v>
      </c>
      <c r="E6" s="8" t="s">
        <v>238</v>
      </c>
      <c r="F6" s="33" t="s">
        <v>265</v>
      </c>
      <c r="G6" s="33" t="s">
        <v>266</v>
      </c>
      <c r="H6" s="33" t="s">
        <v>267</v>
      </c>
      <c r="I6" s="33" t="s">
        <v>241</v>
      </c>
      <c r="J6" s="33" t="s">
        <v>268</v>
      </c>
      <c r="K6" s="33" t="s">
        <v>269</v>
      </c>
    </row>
    <row r="7" spans="1:11" ht="13.8" x14ac:dyDescent="0.25">
      <c r="A7" s="51" t="s">
        <v>243</v>
      </c>
      <c r="B7" s="18"/>
      <c r="C7" s="3"/>
      <c r="D7" s="18"/>
      <c r="E7" s="31"/>
      <c r="F7" s="37"/>
      <c r="G7" s="31"/>
      <c r="H7" s="31"/>
      <c r="I7" s="40"/>
      <c r="J7" s="37"/>
      <c r="K7" s="31"/>
    </row>
    <row r="8" spans="1:11" ht="13.8" x14ac:dyDescent="0.25">
      <c r="A8" s="51" t="s">
        <v>244</v>
      </c>
      <c r="B8" s="18"/>
      <c r="C8" s="3"/>
      <c r="D8" s="18"/>
      <c r="E8" s="31"/>
      <c r="F8" s="37"/>
      <c r="G8" s="31"/>
      <c r="H8" s="31"/>
      <c r="I8" s="37"/>
      <c r="J8" s="37"/>
      <c r="K8" s="31"/>
    </row>
    <row r="9" spans="1:11" ht="13.8" x14ac:dyDescent="0.25">
      <c r="A9" s="51" t="s">
        <v>245</v>
      </c>
      <c r="B9" s="18"/>
      <c r="C9" s="20"/>
      <c r="D9" s="18"/>
      <c r="E9" s="31"/>
      <c r="F9" s="37"/>
      <c r="G9" s="31"/>
      <c r="H9" s="31"/>
      <c r="I9" s="37"/>
      <c r="J9" s="37"/>
      <c r="K9" s="31"/>
    </row>
    <row r="10" spans="1:11" ht="13.8" x14ac:dyDescent="0.25">
      <c r="A10" s="51" t="s">
        <v>246</v>
      </c>
      <c r="B10" s="18"/>
      <c r="C10" s="3"/>
      <c r="D10" s="18"/>
      <c r="E10" s="31"/>
      <c r="F10" s="37"/>
      <c r="G10" s="31"/>
      <c r="H10" s="31"/>
      <c r="I10" s="37"/>
      <c r="J10" s="37"/>
      <c r="K10" s="31"/>
    </row>
    <row r="11" spans="1:11" ht="13.8" x14ac:dyDescent="0.25">
      <c r="A11" s="51" t="s">
        <v>247</v>
      </c>
      <c r="B11" s="18"/>
      <c r="C11" s="3"/>
      <c r="D11" s="39"/>
      <c r="E11" s="31"/>
      <c r="F11" s="37"/>
      <c r="G11" s="31"/>
      <c r="H11" s="31"/>
      <c r="I11" s="37"/>
      <c r="J11" s="37"/>
      <c r="K11" s="31"/>
    </row>
    <row r="12" spans="1:11" ht="63" customHeight="1" x14ac:dyDescent="0.25">
      <c r="A12" s="51" t="s">
        <v>248</v>
      </c>
      <c r="B12" s="18"/>
      <c r="C12" s="50"/>
      <c r="D12" s="18"/>
      <c r="E12" s="31"/>
      <c r="F12" s="37"/>
      <c r="G12" s="31"/>
      <c r="H12" s="31"/>
      <c r="I12" s="37"/>
      <c r="J12" s="37"/>
      <c r="K12" s="31"/>
    </row>
    <row r="13" spans="1:11" ht="13.8" x14ac:dyDescent="0.25">
      <c r="A13" s="51" t="s">
        <v>249</v>
      </c>
      <c r="B13" s="18"/>
      <c r="C13" s="3"/>
      <c r="D13" s="18"/>
      <c r="E13" s="31"/>
      <c r="F13" s="37"/>
      <c r="G13" s="31"/>
      <c r="H13" s="31"/>
      <c r="I13" s="37"/>
      <c r="J13" s="37"/>
      <c r="K13" s="31"/>
    </row>
    <row r="14" spans="1:11" ht="13.8" x14ac:dyDescent="0.25">
      <c r="A14" s="51" t="s">
        <v>250</v>
      </c>
      <c r="B14" s="18"/>
      <c r="C14" s="3"/>
      <c r="D14" s="18"/>
      <c r="E14" s="31"/>
      <c r="F14" s="37"/>
      <c r="G14" s="31"/>
      <c r="H14" s="31"/>
      <c r="I14" s="37"/>
      <c r="J14" s="37"/>
      <c r="K14" s="31"/>
    </row>
    <row r="15" spans="1:11" ht="13.8" x14ac:dyDescent="0.25">
      <c r="A15" s="51" t="s">
        <v>251</v>
      </c>
      <c r="B15" s="18"/>
      <c r="C15" s="3"/>
      <c r="D15" s="18"/>
      <c r="E15" s="31"/>
      <c r="F15" s="37"/>
      <c r="G15" s="31"/>
      <c r="H15" s="31"/>
      <c r="I15" s="37"/>
      <c r="J15" s="37"/>
      <c r="K15" s="31"/>
    </row>
    <row r="16" spans="1:11" ht="13.8" x14ac:dyDescent="0.25">
      <c r="A16" s="51" t="s">
        <v>252</v>
      </c>
      <c r="B16" s="18"/>
      <c r="C16" s="3"/>
      <c r="D16" s="39"/>
      <c r="E16" s="31"/>
      <c r="F16" s="37"/>
      <c r="G16" s="31"/>
      <c r="H16" s="31"/>
      <c r="I16" s="37"/>
      <c r="J16" s="37"/>
      <c r="K16" s="31"/>
    </row>
    <row r="17" spans="1:11" ht="13.8" x14ac:dyDescent="0.25">
      <c r="A17" s="51" t="s">
        <v>253</v>
      </c>
      <c r="B17" s="18"/>
      <c r="C17" s="3"/>
      <c r="D17" s="18"/>
      <c r="E17" s="31"/>
      <c r="F17" s="37"/>
      <c r="G17" s="31"/>
      <c r="H17" s="31"/>
      <c r="I17" s="37"/>
      <c r="J17" s="37"/>
      <c r="K17" s="31"/>
    </row>
    <row r="18" spans="1:11" ht="13.8" x14ac:dyDescent="0.25">
      <c r="A18" s="51" t="s">
        <v>254</v>
      </c>
      <c r="B18" s="18"/>
      <c r="C18" s="3"/>
      <c r="D18" s="18"/>
      <c r="E18" s="31"/>
      <c r="F18" s="37"/>
      <c r="G18" s="31"/>
      <c r="H18" s="31"/>
      <c r="I18" s="37"/>
      <c r="J18" s="37"/>
      <c r="K18" s="31"/>
    </row>
    <row r="19" spans="1:11" ht="13.8" x14ac:dyDescent="0.25">
      <c r="A19" s="51" t="s">
        <v>255</v>
      </c>
      <c r="B19" s="18"/>
      <c r="C19" s="3"/>
      <c r="D19" s="18"/>
      <c r="E19" s="31"/>
      <c r="F19" s="31"/>
      <c r="G19" s="31"/>
      <c r="H19" s="31"/>
      <c r="I19" s="31"/>
      <c r="J19" s="31"/>
      <c r="K19" s="31"/>
    </row>
    <row r="20" spans="1:11" ht="13.8" x14ac:dyDescent="0.25">
      <c r="A20" s="51" t="s">
        <v>256</v>
      </c>
      <c r="B20" s="18"/>
      <c r="C20" s="3"/>
      <c r="D20" s="18"/>
      <c r="E20" s="31"/>
      <c r="F20" s="31"/>
      <c r="G20" s="31"/>
      <c r="H20" s="31"/>
      <c r="I20" s="31"/>
      <c r="J20" s="31"/>
      <c r="K20" s="31"/>
    </row>
    <row r="21" spans="1:11" ht="53.4" customHeight="1" x14ac:dyDescent="0.25">
      <c r="A21" s="51" t="s">
        <v>257</v>
      </c>
      <c r="B21" s="18"/>
      <c r="C21" s="3"/>
      <c r="D21" s="18"/>
      <c r="E21" s="31"/>
      <c r="F21" s="37"/>
      <c r="G21" s="31"/>
      <c r="H21" s="31"/>
      <c r="I21" s="37"/>
      <c r="J21" s="37"/>
      <c r="K21" s="31"/>
    </row>
    <row r="22" spans="1:11" ht="13.8" x14ac:dyDescent="0.25">
      <c r="A22" s="51" t="s">
        <v>258</v>
      </c>
      <c r="B22" s="18"/>
      <c r="C22" s="3"/>
      <c r="D22" s="18"/>
      <c r="E22" s="31"/>
      <c r="F22" s="31"/>
      <c r="G22" s="31"/>
      <c r="H22" s="31"/>
      <c r="I22" s="31"/>
      <c r="J22" s="31"/>
      <c r="K22" s="31"/>
    </row>
    <row r="23" spans="1:11" ht="13.8" x14ac:dyDescent="0.25">
      <c r="A23" s="51" t="s">
        <v>259</v>
      </c>
      <c r="B23" s="18"/>
      <c r="C23" s="20"/>
      <c r="D23" s="39"/>
      <c r="E23" s="31"/>
      <c r="F23" s="37"/>
      <c r="G23" s="31"/>
      <c r="H23" s="31"/>
      <c r="I23" s="37"/>
      <c r="J23" s="37"/>
      <c r="K23" s="31"/>
    </row>
    <row r="24" spans="1:11" ht="13.8" x14ac:dyDescent="0.25">
      <c r="A24" s="43" t="s">
        <v>260</v>
      </c>
      <c r="B24" s="4"/>
      <c r="C24" s="10"/>
      <c r="D24" s="31"/>
      <c r="E24" s="31"/>
      <c r="F24" s="31"/>
      <c r="G24" s="31"/>
      <c r="H24" s="31"/>
      <c r="I24" s="31"/>
      <c r="J24" s="31"/>
      <c r="K24" s="31"/>
    </row>
    <row r="25" spans="1:11" ht="13.8" x14ac:dyDescent="0.25">
      <c r="A25" s="43" t="s">
        <v>261</v>
      </c>
      <c r="B25" s="4"/>
      <c r="C25" s="10"/>
      <c r="D25" s="31"/>
      <c r="E25" s="31"/>
      <c r="F25" s="31"/>
      <c r="G25" s="31"/>
      <c r="H25" s="31"/>
      <c r="I25" s="31"/>
      <c r="J25" s="31"/>
      <c r="K25" s="31"/>
    </row>
    <row r="26" spans="1:11" ht="13.8" x14ac:dyDescent="0.25">
      <c r="A26" s="43" t="s">
        <v>262</v>
      </c>
      <c r="B26" s="4"/>
      <c r="C26" s="11"/>
      <c r="D26" s="31"/>
      <c r="E26" s="31"/>
      <c r="F26" s="31"/>
      <c r="G26" s="31"/>
      <c r="H26" s="31"/>
      <c r="I26" s="31"/>
      <c r="J26" s="31"/>
      <c r="K26" s="31"/>
    </row>
    <row r="27" spans="1:11" ht="14.25" customHeight="1" x14ac:dyDescent="0.25">
      <c r="A27" s="2"/>
      <c r="B27" s="5"/>
      <c r="C27" s="5"/>
    </row>
    <row r="28" spans="1:11" ht="14.25" customHeight="1" x14ac:dyDescent="0.25">
      <c r="A28" s="2"/>
      <c r="B28" s="5"/>
      <c r="C28" s="5"/>
    </row>
    <row r="29" spans="1:11" ht="14.25" customHeight="1" x14ac:dyDescent="0.25">
      <c r="A29" s="2"/>
      <c r="B29" s="5"/>
      <c r="C29" s="5"/>
    </row>
    <row r="30" spans="1:11" ht="14.25" customHeight="1" x14ac:dyDescent="0.25">
      <c r="A30" s="2"/>
      <c r="B30" s="5"/>
      <c r="C30" s="5"/>
    </row>
    <row r="31" spans="1:11" ht="14.25" customHeight="1" x14ac:dyDescent="0.25">
      <c r="A31" s="2"/>
      <c r="B31" s="5"/>
      <c r="C31" s="5"/>
    </row>
    <row r="32" spans="1:11" ht="14.25" customHeight="1" x14ac:dyDescent="0.25">
      <c r="A32" s="2"/>
      <c r="B32" s="5"/>
      <c r="C32" s="5"/>
    </row>
    <row r="33" spans="1:3" ht="14.25" customHeight="1" x14ac:dyDescent="0.25">
      <c r="A33" s="2"/>
      <c r="B33" s="5"/>
      <c r="C33" s="5"/>
    </row>
    <row r="34" spans="1:3" ht="14.25" customHeight="1" x14ac:dyDescent="0.25">
      <c r="A34" s="5"/>
      <c r="B34" s="5"/>
      <c r="C34" s="5"/>
    </row>
    <row r="35" spans="1:3" ht="14.25" customHeight="1" x14ac:dyDescent="0.25">
      <c r="A35" s="5"/>
      <c r="B35" s="5"/>
      <c r="C35" s="5"/>
    </row>
    <row r="36" spans="1:3" ht="14.25" customHeight="1" x14ac:dyDescent="0.25">
      <c r="A36" s="5"/>
      <c r="B36" s="5"/>
      <c r="C36" s="5"/>
    </row>
    <row r="37" spans="1:3" ht="14.25" customHeight="1" x14ac:dyDescent="0.25">
      <c r="A37" s="5"/>
      <c r="B37" s="5"/>
      <c r="C37" s="5"/>
    </row>
    <row r="38" spans="1:3" ht="14.25" customHeight="1" x14ac:dyDescent="0.25">
      <c r="A38" s="5"/>
      <c r="B38" s="5"/>
      <c r="C38" s="5"/>
    </row>
    <row r="39" spans="1:3" ht="14.25" customHeight="1" x14ac:dyDescent="0.25">
      <c r="A39" s="5"/>
      <c r="B39" s="5"/>
      <c r="C39" s="5"/>
    </row>
    <row r="40" spans="1:3" ht="14.25" customHeight="1" x14ac:dyDescent="0.25">
      <c r="A40" s="5"/>
      <c r="B40" s="5"/>
      <c r="C40" s="5"/>
    </row>
    <row r="41" spans="1:3" ht="14.25" customHeight="1" x14ac:dyDescent="0.25">
      <c r="A41" s="5"/>
      <c r="B41" s="5"/>
      <c r="C41" s="5"/>
    </row>
    <row r="42" spans="1:3" ht="14.25" customHeight="1" x14ac:dyDescent="0.25">
      <c r="A42" s="5"/>
      <c r="B42" s="5"/>
      <c r="C42" s="5"/>
    </row>
    <row r="43" spans="1:3" ht="14.25" customHeight="1" x14ac:dyDescent="0.25">
      <c r="A43" s="5"/>
      <c r="B43" s="5"/>
      <c r="C43" s="5"/>
    </row>
    <row r="44" spans="1:3" ht="14.25" customHeight="1" x14ac:dyDescent="0.25">
      <c r="A44" s="5"/>
      <c r="B44" s="5"/>
      <c r="C44" s="5"/>
    </row>
    <row r="45" spans="1:3" ht="14.25" customHeight="1" x14ac:dyDescent="0.25">
      <c r="A45" s="5"/>
      <c r="B45" s="5"/>
      <c r="C45" s="5"/>
    </row>
    <row r="46" spans="1:3" ht="14.25" customHeight="1" x14ac:dyDescent="0.25">
      <c r="A46" s="5"/>
      <c r="B46" s="5"/>
      <c r="C46" s="5"/>
    </row>
    <row r="47" spans="1:3" ht="14.25" customHeight="1" x14ac:dyDescent="0.25">
      <c r="A47" s="5"/>
      <c r="B47" s="5"/>
      <c r="C47" s="5"/>
    </row>
    <row r="48" spans="1:3" ht="14.25" customHeight="1" x14ac:dyDescent="0.25">
      <c r="A48" s="5"/>
      <c r="B48" s="5"/>
      <c r="C48" s="5"/>
    </row>
    <row r="49" spans="1:3" ht="14.25" customHeight="1" x14ac:dyDescent="0.25">
      <c r="A49" s="5"/>
      <c r="B49" s="5"/>
      <c r="C49" s="5"/>
    </row>
    <row r="50" spans="1:3" ht="14.25" customHeight="1" x14ac:dyDescent="0.25">
      <c r="A50" s="5"/>
      <c r="B50" s="5"/>
      <c r="C50" s="5"/>
    </row>
    <row r="51" spans="1:3" ht="14.25" customHeight="1" x14ac:dyDescent="0.25">
      <c r="A51" s="5"/>
      <c r="B51" s="5"/>
      <c r="C51" s="5"/>
    </row>
    <row r="52" spans="1:3" ht="14.25" customHeight="1" x14ac:dyDescent="0.25">
      <c r="A52" s="5"/>
      <c r="B52" s="5"/>
      <c r="C52" s="5"/>
    </row>
    <row r="53" spans="1:3" ht="14.25" customHeight="1" x14ac:dyDescent="0.25">
      <c r="A53" s="5"/>
      <c r="B53" s="5"/>
      <c r="C53" s="5"/>
    </row>
    <row r="54" spans="1:3" ht="14.25" customHeight="1" x14ac:dyDescent="0.25">
      <c r="A54" s="5"/>
      <c r="B54" s="5"/>
      <c r="C54" s="5"/>
    </row>
    <row r="55" spans="1:3" ht="14.25" customHeight="1" x14ac:dyDescent="0.25">
      <c r="A55" s="5"/>
      <c r="B55" s="5"/>
      <c r="C55" s="5"/>
    </row>
    <row r="56" spans="1:3" ht="14.25" customHeight="1" x14ac:dyDescent="0.25">
      <c r="A56" s="5"/>
      <c r="B56" s="5"/>
      <c r="C56" s="5"/>
    </row>
    <row r="57" spans="1:3" ht="14.25" customHeight="1" x14ac:dyDescent="0.25">
      <c r="A57" s="5"/>
      <c r="B57" s="5"/>
      <c r="C57" s="5"/>
    </row>
    <row r="58" spans="1:3" ht="14.25" customHeight="1" x14ac:dyDescent="0.25">
      <c r="A58" s="5"/>
      <c r="B58" s="5"/>
      <c r="C58" s="5"/>
    </row>
    <row r="59" spans="1:3" ht="14.25" customHeight="1" x14ac:dyDescent="0.25">
      <c r="A59" s="5"/>
      <c r="B59" s="5"/>
      <c r="C59" s="5"/>
    </row>
    <row r="60" spans="1:3" ht="14.25" customHeight="1" x14ac:dyDescent="0.25">
      <c r="A60" s="5"/>
      <c r="B60" s="5"/>
      <c r="C60" s="5"/>
    </row>
    <row r="61" spans="1:3" ht="14.25" customHeight="1" x14ac:dyDescent="0.25">
      <c r="A61" s="5"/>
      <c r="B61" s="5"/>
      <c r="C61" s="5"/>
    </row>
    <row r="62" spans="1:3" ht="14.25" customHeight="1" x14ac:dyDescent="0.25">
      <c r="A62" s="5"/>
      <c r="B62" s="5"/>
      <c r="C62" s="5"/>
    </row>
    <row r="63" spans="1:3" ht="14.25" customHeight="1" x14ac:dyDescent="0.25">
      <c r="A63" s="5"/>
      <c r="B63" s="5"/>
      <c r="C63" s="5"/>
    </row>
    <row r="64" spans="1:3" ht="14.25" customHeight="1" x14ac:dyDescent="0.25">
      <c r="A64" s="5"/>
      <c r="B64" s="5"/>
      <c r="C64" s="5"/>
    </row>
    <row r="65" spans="1:3" ht="14.25" customHeight="1" x14ac:dyDescent="0.25">
      <c r="A65" s="5"/>
      <c r="B65" s="5"/>
      <c r="C65" s="5"/>
    </row>
    <row r="66" spans="1:3" ht="14.25" customHeight="1" x14ac:dyDescent="0.25">
      <c r="A66" s="5"/>
      <c r="B66" s="5"/>
      <c r="C66" s="5"/>
    </row>
    <row r="67" spans="1:3" ht="14.25" customHeight="1" x14ac:dyDescent="0.25">
      <c r="A67" s="5"/>
      <c r="B67" s="5"/>
      <c r="C67" s="5"/>
    </row>
    <row r="68" spans="1:3" ht="14.25" customHeight="1" x14ac:dyDescent="0.25">
      <c r="A68" s="5"/>
      <c r="B68" s="5"/>
      <c r="C68" s="5"/>
    </row>
    <row r="69" spans="1:3" ht="14.25" customHeight="1" x14ac:dyDescent="0.25">
      <c r="A69" s="5"/>
      <c r="B69" s="5"/>
      <c r="C69" s="5"/>
    </row>
    <row r="70" spans="1:3" ht="14.25" customHeight="1" x14ac:dyDescent="0.25">
      <c r="A70" s="5"/>
      <c r="B70" s="5"/>
      <c r="C70" s="5"/>
    </row>
    <row r="71" spans="1:3" ht="14.25" customHeight="1" x14ac:dyDescent="0.25">
      <c r="A71" s="5"/>
      <c r="B71" s="5"/>
      <c r="C71" s="5"/>
    </row>
    <row r="72" spans="1:3" ht="14.25" customHeight="1" x14ac:dyDescent="0.25">
      <c r="A72" s="5"/>
      <c r="B72" s="5"/>
      <c r="C72" s="5"/>
    </row>
    <row r="73" spans="1:3" ht="14.25" customHeight="1" x14ac:dyDescent="0.25">
      <c r="A73" s="5"/>
      <c r="B73" s="5"/>
      <c r="C73" s="5"/>
    </row>
    <row r="74" spans="1:3" ht="14.25" customHeight="1" x14ac:dyDescent="0.25">
      <c r="A74" s="5"/>
      <c r="B74" s="5"/>
      <c r="C74" s="5"/>
    </row>
    <row r="75" spans="1:3" ht="14.25" customHeight="1" x14ac:dyDescent="0.25">
      <c r="A75" s="5"/>
      <c r="B75" s="5"/>
      <c r="C75" s="5"/>
    </row>
    <row r="76" spans="1:3" ht="14.25" customHeight="1" x14ac:dyDescent="0.25">
      <c r="A76" s="5"/>
      <c r="B76" s="5"/>
      <c r="C76" s="5"/>
    </row>
    <row r="77" spans="1:3" ht="14.25" customHeight="1" x14ac:dyDescent="0.25">
      <c r="A77" s="5"/>
      <c r="B77" s="5"/>
      <c r="C77" s="5"/>
    </row>
    <row r="78" spans="1:3" ht="14.25" customHeight="1" x14ac:dyDescent="0.25">
      <c r="A78" s="5"/>
      <c r="B78" s="5"/>
      <c r="C78" s="5"/>
    </row>
    <row r="79" spans="1:3" ht="14.25" customHeight="1" x14ac:dyDescent="0.25">
      <c r="A79" s="5"/>
      <c r="B79" s="5"/>
      <c r="C79" s="5"/>
    </row>
    <row r="80" spans="1:3" ht="14.25" customHeight="1" x14ac:dyDescent="0.25">
      <c r="A80" s="5"/>
      <c r="B80" s="5"/>
      <c r="C80" s="5"/>
    </row>
    <row r="81" spans="1:3" ht="14.25" customHeight="1" x14ac:dyDescent="0.25">
      <c r="A81" s="5"/>
      <c r="B81" s="5"/>
      <c r="C81" s="5"/>
    </row>
    <row r="82" spans="1:3" ht="14.25" customHeight="1" x14ac:dyDescent="0.25">
      <c r="A82" s="5"/>
      <c r="B82" s="5"/>
      <c r="C82" s="5"/>
    </row>
    <row r="83" spans="1:3" ht="14.25" customHeight="1" x14ac:dyDescent="0.25">
      <c r="A83" s="5"/>
      <c r="B83" s="5"/>
      <c r="C83" s="5"/>
    </row>
    <row r="84" spans="1:3" ht="14.25" customHeight="1" x14ac:dyDescent="0.25">
      <c r="A84" s="5"/>
      <c r="B84" s="5"/>
      <c r="C84" s="5"/>
    </row>
    <row r="85" spans="1:3" ht="14.25" customHeight="1" x14ac:dyDescent="0.25">
      <c r="A85" s="5"/>
      <c r="B85" s="5"/>
      <c r="C85" s="5"/>
    </row>
    <row r="86" spans="1:3" ht="14.25" customHeight="1" x14ac:dyDescent="0.25">
      <c r="A86" s="5"/>
      <c r="B86" s="5"/>
      <c r="C86" s="5"/>
    </row>
    <row r="87" spans="1:3" ht="14.25" customHeight="1" x14ac:dyDescent="0.25">
      <c r="A87" s="5"/>
      <c r="B87" s="5"/>
      <c r="C87" s="5"/>
    </row>
    <row r="88" spans="1:3" ht="14.25" customHeight="1" x14ac:dyDescent="0.25">
      <c r="A88" s="5"/>
      <c r="B88" s="5"/>
      <c r="C88" s="5"/>
    </row>
    <row r="89" spans="1:3" ht="14.25" customHeight="1" x14ac:dyDescent="0.25">
      <c r="A89" s="5"/>
      <c r="B89" s="5"/>
      <c r="C89" s="5"/>
    </row>
    <row r="90" spans="1:3" ht="14.25" customHeight="1" x14ac:dyDescent="0.25">
      <c r="A90" s="5"/>
    </row>
    <row r="91" spans="1:3" ht="14.25" customHeight="1" x14ac:dyDescent="0.25">
      <c r="A91" s="5"/>
    </row>
    <row r="92" spans="1:3" ht="14.25" customHeight="1" x14ac:dyDescent="0.25">
      <c r="A92" s="5"/>
    </row>
    <row r="93" spans="1:3" ht="14.25" customHeight="1" x14ac:dyDescent="0.25"/>
    <row r="94" spans="1:3" ht="14.25" customHeight="1" x14ac:dyDescent="0.25"/>
    <row r="95" spans="1:3" ht="14.25" customHeight="1" x14ac:dyDescent="0.25"/>
    <row r="96" spans="1:3"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mergeCells count="1">
    <mergeCell ref="A2:C2"/>
  </mergeCells>
  <phoneticPr fontId="5"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Tieuchi-danhgia</vt:lpstr>
      <vt:lpstr>Mini-Seminar</vt:lpstr>
      <vt:lpstr>Tainang</vt:lpstr>
      <vt:lpstr>Chuan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hoang hien</dc:creator>
  <cp:keywords/>
  <dc:description/>
  <cp:lastModifiedBy>Lại Quan Thiên</cp:lastModifiedBy>
  <cp:revision/>
  <dcterms:created xsi:type="dcterms:W3CDTF">2015-06-05T18:17:20Z</dcterms:created>
  <dcterms:modified xsi:type="dcterms:W3CDTF">2025-01-07T09:47:42Z</dcterms:modified>
  <cp:category/>
  <cp:contentStatus/>
</cp:coreProperties>
</file>